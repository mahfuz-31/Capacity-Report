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Capacity Report\"/>
    </mc:Choice>
  </mc:AlternateContent>
  <xr:revisionPtr revIDLastSave="0" documentId="13_ncr:1_{4F3D4739-51B1-4C5E-B7D7-32A734F07E9C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Unit Wise" sheetId="1" r:id="rId1"/>
    <sheet name="Weekly Blank Days" sheetId="2" r:id="rId2"/>
    <sheet name="Buyer Wise" sheetId="3" r:id="rId3"/>
    <sheet name="Provision" sheetId="4" r:id="rId4"/>
    <sheet name="Unit and Buyer Wise" sheetId="5" r:id="rId5"/>
    <sheet name="Comparis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J6" i="1"/>
  <c r="J7" i="1"/>
  <c r="J8" i="1"/>
  <c r="J9" i="1"/>
  <c r="J10" i="1"/>
  <c r="J11" i="1"/>
  <c r="J12" i="1"/>
  <c r="J5" i="1"/>
  <c r="P6" i="1"/>
  <c r="P7" i="1"/>
  <c r="P8" i="1"/>
  <c r="P9" i="1"/>
  <c r="P10" i="1"/>
  <c r="P11" i="1"/>
  <c r="P12" i="1"/>
  <c r="P5" i="1"/>
  <c r="F10" i="1"/>
  <c r="F6" i="1"/>
  <c r="F7" i="1"/>
  <c r="F8" i="1"/>
  <c r="F9" i="1"/>
  <c r="F11" i="1"/>
  <c r="F5" i="1"/>
  <c r="O6" i="1"/>
  <c r="O7" i="1"/>
  <c r="O8" i="1"/>
  <c r="O9" i="1"/>
  <c r="O10" i="1"/>
  <c r="O11" i="1"/>
  <c r="O12" i="1"/>
  <c r="O5" i="1"/>
  <c r="D12" i="1"/>
  <c r="C12" i="1"/>
  <c r="F12" i="1" s="1"/>
</calcChain>
</file>

<file path=xl/sharedStrings.xml><?xml version="1.0" encoding="utf-8"?>
<sst xmlns="http://schemas.openxmlformats.org/spreadsheetml/2006/main" count="369" uniqueCount="110">
  <si>
    <t>Capacity Report</t>
  </si>
  <si>
    <t>Monthly Blank Days</t>
  </si>
  <si>
    <t>Factory</t>
  </si>
  <si>
    <t>-</t>
  </si>
  <si>
    <t>08-May (Jun)</t>
  </si>
  <si>
    <t>07-May (Jun)</t>
  </si>
  <si>
    <t>Change (Jun)</t>
  </si>
  <si>
    <t>08-May (Jul)</t>
  </si>
  <si>
    <t>07-May (Jul)</t>
  </si>
  <si>
    <t>Change (Jul)</t>
  </si>
  <si>
    <t>JAL</t>
  </si>
  <si>
    <t>20 MC Line Days</t>
  </si>
  <si>
    <t>JFL</t>
  </si>
  <si>
    <t>JKL</t>
  </si>
  <si>
    <t>MFL</t>
  </si>
  <si>
    <t>FFL2</t>
  </si>
  <si>
    <t>JKL2</t>
  </si>
  <si>
    <t>GTAL</t>
  </si>
  <si>
    <t>May Plan Quantity =</t>
  </si>
  <si>
    <t>Weekly Blank Days (Factory wise)</t>
  </si>
  <si>
    <t>01-Jun-25</t>
  </si>
  <si>
    <t>08-Jun-25</t>
  </si>
  <si>
    <t>15-Jun-25</t>
  </si>
  <si>
    <t>22-Jun-25</t>
  </si>
  <si>
    <t>29-Jun-25</t>
  </si>
  <si>
    <t>06-Jul-25</t>
  </si>
  <si>
    <t>13-Jul-25</t>
  </si>
  <si>
    <t>20-Jul-25</t>
  </si>
  <si>
    <t>Buyer wise Monthly Plan qty.</t>
  </si>
  <si>
    <t>Buyer Name</t>
  </si>
  <si>
    <t>ASDA STORE LTD.</t>
  </si>
  <si>
    <t>BESTSELLER A/S</t>
  </si>
  <si>
    <t>BONITA GMBS &amp; CO. KG</t>
  </si>
  <si>
    <t>C &amp; A BUYING GMBH &amp; CO. KG</t>
  </si>
  <si>
    <t>CAMEL ACTIVE / BHB-Fashion Service Gmbh</t>
  </si>
  <si>
    <t>G-STAR RAW CV</t>
  </si>
  <si>
    <t>GUESS EUROPE SAGL</t>
  </si>
  <si>
    <t>H &amp; M HENNES &amp; MAURITAZ GBC AB</t>
  </si>
  <si>
    <t>HUGO BOSS AG</t>
  </si>
  <si>
    <t>INDISKA</t>
  </si>
  <si>
    <t>ITX LADIES</t>
  </si>
  <si>
    <t>KMART AUSTRALIA LIMITED</t>
  </si>
  <si>
    <t>MQ MARQET AB</t>
  </si>
  <si>
    <t>NEW FRONTIER</t>
  </si>
  <si>
    <t>NEXT SOURCING LTD.</t>
  </si>
  <si>
    <t>PUMA</t>
  </si>
  <si>
    <t>Ralph Lauren Corporation</t>
  </si>
  <si>
    <t>TOM TAILOR SOURCING LTD.</t>
  </si>
  <si>
    <t>VF CORPORATION</t>
  </si>
  <si>
    <t>VOGUE SOURCING LIMITED</t>
  </si>
  <si>
    <t>Buyer wise Monthly Provision</t>
  </si>
  <si>
    <t>Buyer</t>
  </si>
  <si>
    <t>31-May-25</t>
  </si>
  <si>
    <t>30-Jun-25</t>
  </si>
  <si>
    <t>31-Jul-25</t>
  </si>
  <si>
    <t>31-Aug-25</t>
  </si>
  <si>
    <t>Unit wise, Buyer wise Monthly Plan Qty.</t>
  </si>
  <si>
    <t>Pl. Board</t>
  </si>
  <si>
    <t>Factory+Buyer</t>
  </si>
  <si>
    <t>30-Sep-25</t>
  </si>
  <si>
    <t>31-Oct-25</t>
  </si>
  <si>
    <t>FFL2C &amp; A BUYING GMBH &amp; CO. KG</t>
  </si>
  <si>
    <t>FFL2H &amp; M HENNES &amp; MAURITAZ GBC AB</t>
  </si>
  <si>
    <t>FFL2INDISKA</t>
  </si>
  <si>
    <t>GTALH &amp; M HENNES &amp; MAURITAZ GBC AB</t>
  </si>
  <si>
    <t>JALASDA STORE LTD.</t>
  </si>
  <si>
    <t>JALC &amp; A BUYING GMBH &amp; CO. KG</t>
  </si>
  <si>
    <t>JALH &amp; M HENNES &amp; MAURITAZ GBC AB</t>
  </si>
  <si>
    <t>JALVOGUE SOURCING LIMITED</t>
  </si>
  <si>
    <t>JFLASDA STORE LTD.</t>
  </si>
  <si>
    <t>JFLBESTSELLER A/S</t>
  </si>
  <si>
    <t>JFLMQ MARQET AB</t>
  </si>
  <si>
    <t>JKLASDA STORE LTD.</t>
  </si>
  <si>
    <t>JKLBONITA GMBS &amp; CO. KG</t>
  </si>
  <si>
    <t>JKLC &amp; A BUYING GMBH &amp; CO. KG</t>
  </si>
  <si>
    <t>JKLCAMEL ACTIVE / BHB-Fashion Service Gmbh</t>
  </si>
  <si>
    <t>JKLG-STAR RAW CV</t>
  </si>
  <si>
    <t>JKLGUESS EUROPE SAGL</t>
  </si>
  <si>
    <t>JKLHUGO BOSS AG</t>
  </si>
  <si>
    <t>JKLITX LADIES</t>
  </si>
  <si>
    <t>JKLNEXT SOURCING LTD.</t>
  </si>
  <si>
    <t>JKLPUMA</t>
  </si>
  <si>
    <t>JKLRalph Lauren Corporation</t>
  </si>
  <si>
    <t>JKLTOM TAILOR SOURCING LTD.</t>
  </si>
  <si>
    <t>JKL2BESTSELLER A/S</t>
  </si>
  <si>
    <t>JKL2C &amp; A BUYING GMBH &amp; CO. KG</t>
  </si>
  <si>
    <t>JKL2GUESS EUROPE SAGL</t>
  </si>
  <si>
    <t>JKL2H &amp; M HENNES &amp; MAURITAZ GBC AB</t>
  </si>
  <si>
    <t>JKL2KMART AUSTRALIA LIMITED</t>
  </si>
  <si>
    <t>JKL2NEW FRONTIER</t>
  </si>
  <si>
    <t>JKL2PUMA</t>
  </si>
  <si>
    <t>MFLASDA STORE LTD.</t>
  </si>
  <si>
    <t>MFLNEW FRONTIER</t>
  </si>
  <si>
    <t>MFLPUMA</t>
  </si>
  <si>
    <t>MFLVF CORPORATION</t>
  </si>
  <si>
    <t>Units</t>
  </si>
  <si>
    <t>Yesterday Qty. (Jun)</t>
  </si>
  <si>
    <t>Today Qty. (Jun)</t>
  </si>
  <si>
    <t>Yesterday Qty. (Jul)</t>
  </si>
  <si>
    <t>Today Qty. (Jul)</t>
  </si>
  <si>
    <t>January</t>
  </si>
  <si>
    <t>February</t>
  </si>
  <si>
    <t>Change</t>
  </si>
  <si>
    <t>Blank%</t>
  </si>
  <si>
    <t>Working Days</t>
  </si>
  <si>
    <t>JKL-U2</t>
  </si>
  <si>
    <t>RMG.Total</t>
  </si>
  <si>
    <t>MC Qty</t>
  </si>
  <si>
    <t>Available Capacity (First)</t>
  </si>
  <si>
    <t>Available Capacity (Second)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</si>
</sst>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24"/>
      <name val="Playfair Display"/>
    </font>
    <font>
      <sz val="24"/>
      <color theme="1"/>
      <name val="Playfair Display"/>
    </font>
    <font>
      <sz val="11"/>
      <name val="Arial"/>
    </font>
    <font>
      <b/>
      <sz val="11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1E0"/>
        <bgColor rgb="FFDCE1E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rgb="FFDCE1E0"/>
      </patternFill>
    </fill>
    <fill>
      <patternFill patternType="solid">
        <fgColor theme="7" tint="0.79998168889431442"/>
        <bgColor rgb="FFDCE1E0"/>
      </patternFill>
    </fill>
  </fills>
  <borders count="8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thin">
        <color rgb="FFA4A4A4"/>
      </top>
      <bottom/>
      <diagonal/>
    </border>
    <border>
      <left style="thin">
        <color rgb="FFA4A4A4"/>
      </left>
      <right/>
      <top style="thin">
        <color rgb="FFA4A4A4"/>
      </top>
      <bottom style="thin">
        <color rgb="FFA4A4A4"/>
      </bottom>
      <diagonal/>
    </border>
    <border>
      <left/>
      <right/>
      <top style="thin">
        <color rgb="FFA4A4A4"/>
      </top>
      <bottom style="thin">
        <color rgb="FFA4A4A4"/>
      </bottom>
      <diagonal/>
    </border>
    <border>
      <left/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 style="thin">
        <color rgb="FFA4A4A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/>
    <xf numFmtId="3" fontId="1" fillId="0" borderId="1" xfId="0" applyNumberFormat="1" applyFont="1" applyBorder="1"/>
    <xf numFmtId="3" fontId="3" fillId="0" borderId="1" xfId="0" applyNumberFormat="1" applyFont="1" applyBorder="1"/>
    <xf numFmtId="0" fontId="2" fillId="2" borderId="1" xfId="0" applyFont="1" applyFill="1" applyBorder="1"/>
    <xf numFmtId="3" fontId="2" fillId="2" borderId="1" xfId="0" applyNumberFormat="1" applyFont="1" applyFill="1" applyBorder="1"/>
    <xf numFmtId="3" fontId="3" fillId="2" borderId="1" xfId="0" applyNumberFormat="1" applyFont="1" applyFill="1" applyBorder="1"/>
    <xf numFmtId="0" fontId="2" fillId="0" borderId="0" xfId="0" applyFont="1"/>
    <xf numFmtId="3" fontId="2" fillId="0" borderId="0" xfId="0" applyNumberFormat="1" applyFont="1"/>
    <xf numFmtId="0" fontId="0" fillId="0" borderId="2" xfId="0" applyBorder="1"/>
    <xf numFmtId="3" fontId="1" fillId="3" borderId="1" xfId="0" applyNumberFormat="1" applyFont="1" applyFill="1" applyBorder="1"/>
    <xf numFmtId="16" fontId="2" fillId="2" borderId="1" xfId="0" applyNumberFormat="1" applyFont="1" applyFill="1" applyBorder="1" applyAlignment="1">
      <alignment horizontal="center" vertical="top"/>
    </xf>
    <xf numFmtId="3" fontId="8" fillId="0" borderId="1" xfId="0" applyNumberFormat="1" applyFont="1" applyBorder="1"/>
    <xf numFmtId="164" fontId="1" fillId="0" borderId="1" xfId="1" applyNumberFormat="1" applyFont="1" applyBorder="1"/>
    <xf numFmtId="3" fontId="9" fillId="0" borderId="1" xfId="0" applyNumberFormat="1" applyFont="1" applyBorder="1"/>
    <xf numFmtId="164" fontId="2" fillId="2" borderId="1" xfId="1" applyNumberFormat="1" applyFont="1" applyFill="1" applyBorder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 vertical="top"/>
    </xf>
    <xf numFmtId="0" fontId="2" fillId="2" borderId="1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zoomScaleNormal="100" workbookViewId="0">
      <selection activeCell="C6" sqref="C6"/>
    </sheetView>
  </sheetViews>
  <sheetFormatPr defaultRowHeight="15" x14ac:dyDescent="0.25"/>
  <cols>
    <col min="2" max="2" width="20" customWidth="1"/>
    <col min="3" max="8" width="13" customWidth="1"/>
    <col min="13" max="13" width="10.140625" bestFit="1" customWidth="1"/>
    <col min="15" max="15" width="17.42578125" bestFit="1" customWidth="1"/>
  </cols>
  <sheetData>
    <row r="1" spans="1:16" ht="38.25" x14ac:dyDescent="0.7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6" ht="18" x14ac:dyDescent="0.25">
      <c r="A2" s="1" t="s">
        <v>1</v>
      </c>
    </row>
    <row r="3" spans="1:16" x14ac:dyDescent="0.25">
      <c r="A3" s="20" t="s">
        <v>2</v>
      </c>
      <c r="B3" s="20" t="s">
        <v>3</v>
      </c>
      <c r="C3" s="22" t="s">
        <v>100</v>
      </c>
      <c r="D3" s="23"/>
      <c r="E3" s="23"/>
      <c r="F3" s="24"/>
      <c r="G3" s="25" t="s">
        <v>101</v>
      </c>
      <c r="H3" s="26"/>
      <c r="I3" s="26"/>
      <c r="J3" s="27"/>
    </row>
    <row r="4" spans="1:16" x14ac:dyDescent="0.25">
      <c r="A4" s="21"/>
      <c r="B4" s="21"/>
      <c r="C4" s="13">
        <v>45999</v>
      </c>
      <c r="D4" s="13">
        <v>45998</v>
      </c>
      <c r="E4" s="2" t="s">
        <v>102</v>
      </c>
      <c r="F4" s="2" t="s">
        <v>103</v>
      </c>
      <c r="G4" s="13">
        <v>45999</v>
      </c>
      <c r="H4" s="13">
        <v>45998</v>
      </c>
      <c r="I4" s="2" t="s">
        <v>102</v>
      </c>
      <c r="J4" s="2" t="s">
        <v>103</v>
      </c>
      <c r="M4" t="s">
        <v>2</v>
      </c>
      <c r="N4" t="s">
        <v>107</v>
      </c>
      <c r="O4" t="s">
        <v>108</v>
      </c>
      <c r="P4" t="s">
        <v>109</v>
      </c>
    </row>
    <row r="5" spans="1:16" x14ac:dyDescent="0.25">
      <c r="A5" s="3" t="s">
        <v>10</v>
      </c>
      <c r="B5" s="3" t="s">
        <v>11</v>
      </c>
      <c r="C5" s="14">
        <v>436</v>
      </c>
      <c r="D5" s="14">
        <v>456</v>
      </c>
      <c r="E5" s="14">
        <v>20</v>
      </c>
      <c r="F5" s="15">
        <f>C5/O5</f>
        <v>0.25292957419654255</v>
      </c>
      <c r="G5" s="14">
        <v>1346</v>
      </c>
      <c r="H5" s="14">
        <v>1346</v>
      </c>
      <c r="I5" s="14">
        <v>0</v>
      </c>
      <c r="J5" s="15">
        <f>G5/P5</f>
        <v>0.92280268750856997</v>
      </c>
      <c r="M5" t="s">
        <v>10</v>
      </c>
      <c r="N5">
        <v>1326</v>
      </c>
      <c r="O5">
        <f>(N5/20)*$E$13</f>
        <v>1723.8</v>
      </c>
      <c r="P5">
        <f>N5*$I$13/20</f>
        <v>1458.6</v>
      </c>
    </row>
    <row r="6" spans="1:16" x14ac:dyDescent="0.25">
      <c r="A6" s="3" t="s">
        <v>12</v>
      </c>
      <c r="B6" s="3" t="s">
        <v>11</v>
      </c>
      <c r="C6" s="14">
        <v>32</v>
      </c>
      <c r="D6" s="14">
        <v>32</v>
      </c>
      <c r="E6" s="14">
        <v>0</v>
      </c>
      <c r="F6" s="15">
        <f t="shared" ref="F6:F12" si="0">C6/O6</f>
        <v>4.048582995951417E-2</v>
      </c>
      <c r="G6" s="14">
        <v>404</v>
      </c>
      <c r="H6" s="14">
        <v>406</v>
      </c>
      <c r="I6" s="14">
        <v>2</v>
      </c>
      <c r="J6" s="15">
        <f t="shared" ref="J6:J12" si="1">G6/P6</f>
        <v>0.60406698564593309</v>
      </c>
      <c r="M6" t="s">
        <v>12</v>
      </c>
      <c r="N6">
        <v>608</v>
      </c>
      <c r="O6">
        <f t="shared" ref="O6:O12" si="2">(N6/20)*$E$13</f>
        <v>790.4</v>
      </c>
      <c r="P6">
        <f t="shared" ref="P6:P12" si="3">N6*$I$13/20</f>
        <v>668.8</v>
      </c>
    </row>
    <row r="7" spans="1:16" x14ac:dyDescent="0.25">
      <c r="A7" s="3" t="s">
        <v>13</v>
      </c>
      <c r="B7" s="3" t="s">
        <v>11</v>
      </c>
      <c r="C7" s="14">
        <v>661</v>
      </c>
      <c r="D7" s="14">
        <v>655</v>
      </c>
      <c r="E7" s="16">
        <v>-6</v>
      </c>
      <c r="F7" s="15">
        <f t="shared" si="0"/>
        <v>0.33429423961968341</v>
      </c>
      <c r="G7" s="14">
        <v>945</v>
      </c>
      <c r="H7" s="14">
        <v>976</v>
      </c>
      <c r="I7" s="14">
        <v>31</v>
      </c>
      <c r="J7" s="15">
        <f t="shared" si="1"/>
        <v>0.5648197955890264</v>
      </c>
      <c r="M7" t="s">
        <v>13</v>
      </c>
      <c r="N7">
        <v>1521</v>
      </c>
      <c r="O7">
        <f t="shared" si="2"/>
        <v>1977.3</v>
      </c>
      <c r="P7">
        <f t="shared" si="3"/>
        <v>1673.1</v>
      </c>
    </row>
    <row r="8" spans="1:16" x14ac:dyDescent="0.25">
      <c r="A8" s="3" t="s">
        <v>14</v>
      </c>
      <c r="B8" s="3" t="s">
        <v>11</v>
      </c>
      <c r="C8" s="16">
        <v>-302</v>
      </c>
      <c r="D8" s="16">
        <v>-302</v>
      </c>
      <c r="E8" s="14">
        <v>0</v>
      </c>
      <c r="F8" s="15">
        <f t="shared" si="0"/>
        <v>-0.18554927500614399</v>
      </c>
      <c r="G8" s="16">
        <v>-452</v>
      </c>
      <c r="H8" s="16">
        <v>-452</v>
      </c>
      <c r="I8" s="14">
        <v>0</v>
      </c>
      <c r="J8" s="15">
        <f t="shared" si="1"/>
        <v>-0.32820214928841124</v>
      </c>
      <c r="M8" t="s">
        <v>14</v>
      </c>
      <c r="N8">
        <v>1252</v>
      </c>
      <c r="O8">
        <f t="shared" si="2"/>
        <v>1627.6000000000001</v>
      </c>
      <c r="P8">
        <f t="shared" si="3"/>
        <v>1377.2</v>
      </c>
    </row>
    <row r="9" spans="1:16" x14ac:dyDescent="0.25">
      <c r="A9" s="3" t="s">
        <v>15</v>
      </c>
      <c r="B9" s="3" t="s">
        <v>11</v>
      </c>
      <c r="C9" s="14">
        <v>454</v>
      </c>
      <c r="D9" s="14">
        <v>448</v>
      </c>
      <c r="E9" s="16">
        <v>-6</v>
      </c>
      <c r="F9" s="15">
        <f t="shared" si="0"/>
        <v>0.28862047043865224</v>
      </c>
      <c r="G9" s="14">
        <v>1302</v>
      </c>
      <c r="H9" s="14">
        <v>1299</v>
      </c>
      <c r="I9" s="16">
        <v>-3</v>
      </c>
      <c r="J9" s="15">
        <f t="shared" si="1"/>
        <v>0.9782118707738543</v>
      </c>
      <c r="M9" t="s">
        <v>15</v>
      </c>
      <c r="N9">
        <v>1210</v>
      </c>
      <c r="O9">
        <f t="shared" si="2"/>
        <v>1573</v>
      </c>
      <c r="P9">
        <f t="shared" si="3"/>
        <v>1331</v>
      </c>
    </row>
    <row r="10" spans="1:16" x14ac:dyDescent="0.25">
      <c r="A10" s="3" t="s">
        <v>16</v>
      </c>
      <c r="B10" s="3" t="s">
        <v>11</v>
      </c>
      <c r="C10" s="14">
        <v>1047</v>
      </c>
      <c r="D10" s="14">
        <v>1047</v>
      </c>
      <c r="E10" s="14">
        <v>0</v>
      </c>
      <c r="F10" s="15">
        <f t="shared" si="0"/>
        <v>0.37286324786324787</v>
      </c>
      <c r="G10" s="14">
        <v>1598</v>
      </c>
      <c r="H10" s="14">
        <v>1679</v>
      </c>
      <c r="I10" s="14">
        <v>81</v>
      </c>
      <c r="J10" s="15">
        <f t="shared" si="1"/>
        <v>0.67255892255892258</v>
      </c>
      <c r="M10" t="s">
        <v>105</v>
      </c>
      <c r="N10">
        <v>2160</v>
      </c>
      <c r="O10">
        <f t="shared" si="2"/>
        <v>2808</v>
      </c>
      <c r="P10">
        <f t="shared" si="3"/>
        <v>2376</v>
      </c>
    </row>
    <row r="11" spans="1:16" x14ac:dyDescent="0.25">
      <c r="A11" s="3" t="s">
        <v>17</v>
      </c>
      <c r="B11" s="3" t="s">
        <v>11</v>
      </c>
      <c r="C11" s="14">
        <v>1031</v>
      </c>
      <c r="D11" s="14">
        <v>1031</v>
      </c>
      <c r="E11" s="14">
        <v>0</v>
      </c>
      <c r="F11" s="15">
        <f t="shared" si="0"/>
        <v>1.0013597513597512</v>
      </c>
      <c r="G11" s="14">
        <v>833</v>
      </c>
      <c r="H11" s="14">
        <v>833</v>
      </c>
      <c r="I11" s="14">
        <v>0</v>
      </c>
      <c r="J11" s="15">
        <f t="shared" si="1"/>
        <v>0.95615243342516065</v>
      </c>
      <c r="M11" t="s">
        <v>17</v>
      </c>
      <c r="N11">
        <v>792</v>
      </c>
      <c r="O11">
        <f t="shared" si="2"/>
        <v>1029.6000000000001</v>
      </c>
      <c r="P11">
        <f t="shared" si="3"/>
        <v>871.2</v>
      </c>
    </row>
    <row r="12" spans="1:16" x14ac:dyDescent="0.25">
      <c r="A12" s="6" t="s">
        <v>3</v>
      </c>
      <c r="B12" s="6" t="s">
        <v>11</v>
      </c>
      <c r="C12" s="7">
        <f>SUM(C5:C11)</f>
        <v>3359</v>
      </c>
      <c r="D12" s="7">
        <f t="shared" ref="D12:E12" si="4">SUM(D5:D11)</f>
        <v>3367</v>
      </c>
      <c r="E12" s="7">
        <f t="shared" si="4"/>
        <v>8</v>
      </c>
      <c r="F12" s="17">
        <f t="shared" si="0"/>
        <v>0.29133455337085962</v>
      </c>
      <c r="G12" s="7">
        <v>6087</v>
      </c>
      <c r="H12" s="7">
        <v>6733</v>
      </c>
      <c r="I12" s="7">
        <v>646</v>
      </c>
      <c r="J12" s="17">
        <f t="shared" si="1"/>
        <v>0.62393013458522539</v>
      </c>
      <c r="M12" t="s">
        <v>106</v>
      </c>
      <c r="N12">
        <v>8869</v>
      </c>
      <c r="O12">
        <f t="shared" si="2"/>
        <v>11529.699999999999</v>
      </c>
      <c r="P12">
        <f t="shared" si="3"/>
        <v>9755.9</v>
      </c>
    </row>
    <row r="13" spans="1:16" x14ac:dyDescent="0.25">
      <c r="A13" s="28"/>
      <c r="B13" s="28"/>
      <c r="C13" s="29" t="s">
        <v>104</v>
      </c>
      <c r="D13" s="30"/>
      <c r="E13" s="29">
        <v>26</v>
      </c>
      <c r="F13" s="30"/>
      <c r="G13" s="29" t="s">
        <v>104</v>
      </c>
      <c r="H13" s="30"/>
      <c r="I13" s="29">
        <v>22</v>
      </c>
      <c r="J13" s="30"/>
    </row>
    <row r="14" spans="1:16" x14ac:dyDescent="0.25">
      <c r="A14" s="9" t="s">
        <v>18</v>
      </c>
      <c r="C14" s="10">
        <v>16157550</v>
      </c>
    </row>
    <row r="17" spans="1:10" ht="18" x14ac:dyDescent="0.25">
      <c r="A17" s="1" t="s">
        <v>19</v>
      </c>
    </row>
    <row r="18" spans="1:10" x14ac:dyDescent="0.25">
      <c r="A18" s="6" t="s">
        <v>2</v>
      </c>
      <c r="B18" s="6" t="s">
        <v>3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  <c r="J18" s="6" t="s">
        <v>27</v>
      </c>
    </row>
    <row r="19" spans="1:10" x14ac:dyDescent="0.25">
      <c r="A19" s="3" t="s">
        <v>10</v>
      </c>
      <c r="B19" s="3" t="s">
        <v>11</v>
      </c>
      <c r="C19" s="5">
        <v>-413</v>
      </c>
      <c r="D19" s="5">
        <v>-188</v>
      </c>
      <c r="E19" s="4">
        <v>21</v>
      </c>
      <c r="F19" s="4">
        <v>188</v>
      </c>
      <c r="G19" s="4">
        <v>302</v>
      </c>
      <c r="H19" s="4">
        <v>366</v>
      </c>
      <c r="I19" s="4">
        <v>377</v>
      </c>
      <c r="J19" s="4">
        <v>389</v>
      </c>
    </row>
    <row r="20" spans="1:10" x14ac:dyDescent="0.25">
      <c r="A20" s="3" t="s">
        <v>12</v>
      </c>
      <c r="B20" s="3" t="s">
        <v>11</v>
      </c>
      <c r="C20" s="5">
        <v>-161</v>
      </c>
      <c r="D20" s="5">
        <v>-189</v>
      </c>
      <c r="E20" s="5">
        <v>-73</v>
      </c>
      <c r="F20" s="5">
        <v>-226</v>
      </c>
      <c r="G20" s="5">
        <v>-160</v>
      </c>
      <c r="H20" s="5">
        <v>-69</v>
      </c>
      <c r="I20" s="5">
        <v>-88</v>
      </c>
      <c r="J20" s="5">
        <v>-26</v>
      </c>
    </row>
    <row r="21" spans="1:10" x14ac:dyDescent="0.25">
      <c r="A21" s="3" t="s">
        <v>13</v>
      </c>
      <c r="B21" s="3" t="s">
        <v>11</v>
      </c>
      <c r="C21" s="5">
        <v>-140</v>
      </c>
      <c r="D21" s="5">
        <v>-10</v>
      </c>
      <c r="E21" s="5">
        <v>-1</v>
      </c>
      <c r="F21" s="5">
        <v>-9</v>
      </c>
      <c r="G21" s="4">
        <v>78</v>
      </c>
      <c r="H21" s="4">
        <v>257</v>
      </c>
      <c r="I21" s="4">
        <v>388</v>
      </c>
      <c r="J21" s="4">
        <v>413</v>
      </c>
    </row>
    <row r="22" spans="1:10" x14ac:dyDescent="0.25">
      <c r="A22" s="3" t="s">
        <v>14</v>
      </c>
      <c r="B22" s="3" t="s">
        <v>11</v>
      </c>
      <c r="C22" s="5">
        <v>-33</v>
      </c>
      <c r="D22" s="5">
        <v>-66</v>
      </c>
      <c r="E22" s="5">
        <v>-18</v>
      </c>
      <c r="F22" s="5">
        <v>-73</v>
      </c>
      <c r="G22" s="4">
        <v>1</v>
      </c>
      <c r="H22" s="5">
        <v>-19</v>
      </c>
      <c r="I22" s="4">
        <v>33</v>
      </c>
      <c r="J22" s="4">
        <v>127</v>
      </c>
    </row>
    <row r="23" spans="1:10" x14ac:dyDescent="0.25">
      <c r="A23" s="3" t="s">
        <v>15</v>
      </c>
      <c r="B23" s="3" t="s">
        <v>11</v>
      </c>
      <c r="C23" s="5">
        <v>-67</v>
      </c>
      <c r="D23" s="5">
        <v>-20</v>
      </c>
      <c r="E23" s="4">
        <v>1</v>
      </c>
      <c r="F23" s="4">
        <v>96</v>
      </c>
      <c r="G23" s="4">
        <v>224</v>
      </c>
      <c r="H23" s="4">
        <v>300</v>
      </c>
      <c r="I23" s="4">
        <v>346</v>
      </c>
      <c r="J23" s="4">
        <v>350</v>
      </c>
    </row>
    <row r="24" spans="1:10" x14ac:dyDescent="0.25">
      <c r="A24" s="3" t="s">
        <v>16</v>
      </c>
      <c r="B24" s="3" t="s">
        <v>11</v>
      </c>
      <c r="C24" s="5">
        <v>-281</v>
      </c>
      <c r="D24" s="5">
        <v>-9</v>
      </c>
      <c r="E24" s="4">
        <v>22</v>
      </c>
      <c r="F24" s="4">
        <v>154</v>
      </c>
      <c r="G24" s="4">
        <v>223</v>
      </c>
      <c r="H24" s="4">
        <v>340</v>
      </c>
      <c r="I24" s="4">
        <v>273</v>
      </c>
      <c r="J24" s="4">
        <v>291</v>
      </c>
    </row>
    <row r="25" spans="1:10" x14ac:dyDescent="0.25">
      <c r="A25" s="3" t="s">
        <v>17</v>
      </c>
      <c r="B25" s="3" t="s">
        <v>11</v>
      </c>
      <c r="C25" s="4">
        <v>41</v>
      </c>
      <c r="D25" s="4">
        <v>50</v>
      </c>
      <c r="E25" s="4">
        <v>13</v>
      </c>
      <c r="F25" s="4">
        <v>93</v>
      </c>
      <c r="G25" s="4">
        <v>119</v>
      </c>
      <c r="H25" s="4">
        <v>119</v>
      </c>
      <c r="I25" s="4">
        <v>132</v>
      </c>
      <c r="J25" s="4">
        <v>159</v>
      </c>
    </row>
    <row r="26" spans="1:10" x14ac:dyDescent="0.25">
      <c r="A26" s="6" t="s">
        <v>3</v>
      </c>
      <c r="B26" s="6" t="s">
        <v>11</v>
      </c>
      <c r="C26" s="8">
        <v>-1054</v>
      </c>
      <c r="D26" s="8">
        <v>-432</v>
      </c>
      <c r="E26" s="8">
        <v>-34</v>
      </c>
      <c r="F26" s="7">
        <v>223</v>
      </c>
      <c r="G26" s="7">
        <v>786</v>
      </c>
      <c r="H26" s="7">
        <v>1293</v>
      </c>
      <c r="I26" s="7">
        <v>1461</v>
      </c>
      <c r="J26" s="7">
        <v>1703</v>
      </c>
    </row>
    <row r="29" spans="1:10" ht="18" x14ac:dyDescent="0.25">
      <c r="B29" s="1" t="s">
        <v>28</v>
      </c>
    </row>
    <row r="30" spans="1:10" x14ac:dyDescent="0.25">
      <c r="B30" s="6" t="s">
        <v>29</v>
      </c>
      <c r="C30" s="6" t="s">
        <v>4</v>
      </c>
      <c r="D30" s="6" t="s">
        <v>5</v>
      </c>
      <c r="E30" s="6" t="s">
        <v>6</v>
      </c>
      <c r="F30" s="6" t="s">
        <v>7</v>
      </c>
      <c r="G30" s="6" t="s">
        <v>8</v>
      </c>
      <c r="H30" s="6" t="s">
        <v>9</v>
      </c>
    </row>
    <row r="31" spans="1:10" x14ac:dyDescent="0.25">
      <c r="B31" s="3" t="s">
        <v>30</v>
      </c>
      <c r="C31" s="4">
        <v>3044582</v>
      </c>
      <c r="D31" s="4">
        <v>3039071</v>
      </c>
      <c r="E31" s="4">
        <v>5511</v>
      </c>
      <c r="F31" s="4">
        <v>1902474</v>
      </c>
      <c r="G31" s="4">
        <v>1927390</v>
      </c>
      <c r="H31" s="4">
        <v>-24916</v>
      </c>
    </row>
    <row r="32" spans="1:10" x14ac:dyDescent="0.25">
      <c r="B32" s="3" t="s">
        <v>31</v>
      </c>
      <c r="C32" s="4">
        <v>374277</v>
      </c>
      <c r="D32" s="4">
        <v>364668</v>
      </c>
      <c r="E32" s="4">
        <v>9609</v>
      </c>
      <c r="F32" s="4">
        <v>146650</v>
      </c>
      <c r="G32" s="4">
        <v>140529</v>
      </c>
      <c r="H32" s="4">
        <v>6121</v>
      </c>
    </row>
    <row r="33" spans="2:8" x14ac:dyDescent="0.25">
      <c r="B33" s="3" t="s">
        <v>32</v>
      </c>
      <c r="C33" s="4">
        <v>27024</v>
      </c>
      <c r="D33" s="4">
        <v>27024</v>
      </c>
      <c r="E33" s="4">
        <v>0</v>
      </c>
      <c r="F33" s="4">
        <v>0</v>
      </c>
      <c r="G33" s="4">
        <v>0</v>
      </c>
      <c r="H33" s="4">
        <v>0</v>
      </c>
    </row>
    <row r="34" spans="2:8" x14ac:dyDescent="0.25">
      <c r="B34" s="3" t="s">
        <v>33</v>
      </c>
      <c r="C34" s="4">
        <v>1499748</v>
      </c>
      <c r="D34" s="4">
        <v>1327228</v>
      </c>
      <c r="E34" s="12">
        <v>172520</v>
      </c>
      <c r="F34" s="4">
        <v>888636</v>
      </c>
      <c r="G34" s="4">
        <v>849613</v>
      </c>
      <c r="H34" s="4">
        <v>39023</v>
      </c>
    </row>
    <row r="35" spans="2:8" x14ac:dyDescent="0.25">
      <c r="B35" s="3" t="s">
        <v>34</v>
      </c>
      <c r="C35" s="4">
        <v>600</v>
      </c>
      <c r="D35" s="4">
        <v>600</v>
      </c>
      <c r="E35" s="4">
        <v>0</v>
      </c>
      <c r="F35" s="4">
        <v>0</v>
      </c>
      <c r="G35" s="4">
        <v>0</v>
      </c>
      <c r="H35" s="4">
        <v>0</v>
      </c>
    </row>
    <row r="36" spans="2:8" x14ac:dyDescent="0.25">
      <c r="B36" s="3" t="s">
        <v>35</v>
      </c>
      <c r="C36" s="4">
        <v>5855</v>
      </c>
      <c r="D36" s="4">
        <v>5850</v>
      </c>
      <c r="E36" s="4">
        <v>5</v>
      </c>
      <c r="F36" s="4">
        <v>0</v>
      </c>
      <c r="G36" s="4">
        <v>0</v>
      </c>
      <c r="H36" s="4">
        <v>0</v>
      </c>
    </row>
    <row r="37" spans="2:8" x14ac:dyDescent="0.25">
      <c r="B37" s="3" t="s">
        <v>36</v>
      </c>
      <c r="C37" s="4">
        <v>48688</v>
      </c>
      <c r="D37" s="4">
        <v>48688</v>
      </c>
      <c r="E37" s="4">
        <v>0</v>
      </c>
      <c r="F37" s="4">
        <v>0</v>
      </c>
      <c r="G37" s="4">
        <v>0</v>
      </c>
      <c r="H37" s="4">
        <v>0</v>
      </c>
    </row>
    <row r="38" spans="2:8" x14ac:dyDescent="0.25">
      <c r="B38" s="3" t="s">
        <v>37</v>
      </c>
      <c r="C38" s="4">
        <v>1542009</v>
      </c>
      <c r="D38" s="4">
        <v>1331135</v>
      </c>
      <c r="E38" s="12">
        <v>210874</v>
      </c>
      <c r="F38" s="4">
        <v>189644</v>
      </c>
      <c r="G38" s="4">
        <v>16377</v>
      </c>
      <c r="H38" s="12">
        <v>173267</v>
      </c>
    </row>
    <row r="39" spans="2:8" x14ac:dyDescent="0.25">
      <c r="B39" s="3" t="s">
        <v>38</v>
      </c>
      <c r="C39" s="4">
        <v>84991</v>
      </c>
      <c r="D39" s="4">
        <v>83590</v>
      </c>
      <c r="E39" s="4">
        <v>1401</v>
      </c>
      <c r="F39" s="4">
        <v>40583</v>
      </c>
      <c r="G39" s="4">
        <v>32510</v>
      </c>
      <c r="H39" s="4">
        <v>8073</v>
      </c>
    </row>
    <row r="40" spans="2:8" x14ac:dyDescent="0.25">
      <c r="B40" s="3" t="s">
        <v>39</v>
      </c>
      <c r="C40" s="4">
        <v>3700</v>
      </c>
      <c r="D40" s="4">
        <v>3700</v>
      </c>
      <c r="E40" s="4">
        <v>0</v>
      </c>
      <c r="F40" s="4">
        <v>0</v>
      </c>
      <c r="G40" s="4">
        <v>0</v>
      </c>
      <c r="H40" s="4">
        <v>0</v>
      </c>
    </row>
    <row r="41" spans="2:8" x14ac:dyDescent="0.25">
      <c r="B41" s="3" t="s">
        <v>40</v>
      </c>
      <c r="C41" s="4">
        <v>3653</v>
      </c>
      <c r="D41" s="4">
        <v>3653</v>
      </c>
      <c r="E41" s="4">
        <v>0</v>
      </c>
      <c r="F41" s="4">
        <v>0</v>
      </c>
      <c r="G41" s="4">
        <v>0</v>
      </c>
      <c r="H41" s="4">
        <v>0</v>
      </c>
    </row>
    <row r="42" spans="2:8" x14ac:dyDescent="0.25">
      <c r="B42" s="3" t="s">
        <v>41</v>
      </c>
      <c r="C42" s="4">
        <v>325664</v>
      </c>
      <c r="D42" s="4">
        <v>325664</v>
      </c>
      <c r="E42" s="4">
        <v>0</v>
      </c>
      <c r="F42" s="4">
        <v>55920</v>
      </c>
      <c r="G42" s="4">
        <v>55920</v>
      </c>
      <c r="H42" s="4">
        <v>0</v>
      </c>
    </row>
    <row r="43" spans="2:8" x14ac:dyDescent="0.25">
      <c r="B43" s="3" t="s">
        <v>42</v>
      </c>
      <c r="C43" s="4">
        <v>42050</v>
      </c>
      <c r="D43" s="4">
        <v>42050</v>
      </c>
      <c r="E43" s="4">
        <v>0</v>
      </c>
      <c r="F43" s="4">
        <v>0</v>
      </c>
      <c r="G43" s="4">
        <v>0</v>
      </c>
      <c r="H43" s="4">
        <v>0</v>
      </c>
    </row>
    <row r="44" spans="2:8" x14ac:dyDescent="0.25">
      <c r="B44" s="3" t="s">
        <v>43</v>
      </c>
      <c r="C44" s="4">
        <v>115081</v>
      </c>
      <c r="D44" s="4">
        <v>115081</v>
      </c>
      <c r="E44" s="4">
        <v>0</v>
      </c>
      <c r="F44" s="4">
        <v>229157</v>
      </c>
      <c r="G44" s="4">
        <v>229157</v>
      </c>
      <c r="H44" s="4">
        <v>0</v>
      </c>
    </row>
    <row r="45" spans="2:8" x14ac:dyDescent="0.25">
      <c r="B45" s="3" t="s">
        <v>44</v>
      </c>
      <c r="C45" s="4">
        <v>78581</v>
      </c>
      <c r="D45" s="4">
        <v>78581</v>
      </c>
      <c r="E45" s="4">
        <v>0</v>
      </c>
      <c r="F45" s="4">
        <v>9046</v>
      </c>
      <c r="G45" s="4">
        <v>9044</v>
      </c>
      <c r="H45" s="4">
        <v>2</v>
      </c>
    </row>
    <row r="46" spans="2:8" x14ac:dyDescent="0.25">
      <c r="B46" s="3" t="s">
        <v>45</v>
      </c>
      <c r="C46" s="4">
        <v>412872</v>
      </c>
      <c r="D46" s="4">
        <v>402861</v>
      </c>
      <c r="E46" s="4">
        <v>10011</v>
      </c>
      <c r="F46" s="4">
        <v>58296</v>
      </c>
      <c r="G46" s="4">
        <v>58289</v>
      </c>
      <c r="H46" s="4">
        <v>7</v>
      </c>
    </row>
    <row r="47" spans="2:8" x14ac:dyDescent="0.25">
      <c r="B47" s="3" t="s">
        <v>46</v>
      </c>
      <c r="C47" s="4">
        <v>127357</v>
      </c>
      <c r="D47" s="4">
        <v>127339</v>
      </c>
      <c r="E47" s="4">
        <v>18</v>
      </c>
      <c r="F47" s="4">
        <v>2389</v>
      </c>
      <c r="G47" s="4">
        <v>2389</v>
      </c>
      <c r="H47" s="4">
        <v>0</v>
      </c>
    </row>
    <row r="48" spans="2:8" x14ac:dyDescent="0.25">
      <c r="B48" s="3" t="s">
        <v>47</v>
      </c>
      <c r="C48" s="4">
        <v>78111</v>
      </c>
      <c r="D48" s="4">
        <v>81437</v>
      </c>
      <c r="E48" s="4">
        <v>-3326</v>
      </c>
      <c r="F48" s="4">
        <v>11376</v>
      </c>
      <c r="G48" s="4">
        <v>10034</v>
      </c>
      <c r="H48" s="4">
        <v>1342</v>
      </c>
    </row>
    <row r="49" spans="2:8" x14ac:dyDescent="0.25">
      <c r="B49" s="3" t="s">
        <v>48</v>
      </c>
      <c r="C49" s="4">
        <v>701060</v>
      </c>
      <c r="D49" s="4">
        <v>701060</v>
      </c>
      <c r="E49" s="4">
        <v>0</v>
      </c>
      <c r="F49" s="4">
        <v>1034294</v>
      </c>
      <c r="G49" s="4">
        <v>1034294</v>
      </c>
      <c r="H49" s="4">
        <v>0</v>
      </c>
    </row>
    <row r="50" spans="2:8" x14ac:dyDescent="0.25">
      <c r="B50" s="3" t="s">
        <v>49</v>
      </c>
      <c r="C50" s="4">
        <v>12893</v>
      </c>
      <c r="D50" s="4">
        <v>13622</v>
      </c>
      <c r="E50" s="4">
        <v>-729</v>
      </c>
      <c r="F50" s="4">
        <v>0</v>
      </c>
      <c r="G50" s="4">
        <v>0</v>
      </c>
      <c r="H50" s="4">
        <v>0</v>
      </c>
    </row>
    <row r="51" spans="2:8" x14ac:dyDescent="0.25">
      <c r="B51" s="6" t="s">
        <v>3</v>
      </c>
      <c r="C51" s="7">
        <v>8528794</v>
      </c>
      <c r="D51" s="7">
        <v>8122901</v>
      </c>
      <c r="E51" s="7">
        <v>405894</v>
      </c>
      <c r="F51" s="7">
        <v>4568464</v>
      </c>
      <c r="G51" s="7">
        <v>4365546</v>
      </c>
      <c r="H51" s="7">
        <v>202919</v>
      </c>
    </row>
    <row r="52" spans="2:8" x14ac:dyDescent="0.25">
      <c r="B52" s="11"/>
      <c r="C52" s="11"/>
      <c r="D52" s="11"/>
      <c r="E52" s="11"/>
      <c r="F52" s="11"/>
      <c r="G52" s="11"/>
      <c r="H52" s="11"/>
    </row>
    <row r="53" spans="2:8" x14ac:dyDescent="0.25">
      <c r="B53" s="11"/>
      <c r="C53" s="11"/>
      <c r="D53" s="11"/>
      <c r="E53" s="11"/>
      <c r="F53" s="11"/>
      <c r="G53" s="11"/>
      <c r="H53" s="11"/>
    </row>
    <row r="54" spans="2:8" x14ac:dyDescent="0.25">
      <c r="B54" s="11"/>
      <c r="C54" s="11"/>
      <c r="D54" s="11"/>
      <c r="E54" s="11"/>
      <c r="F54" s="11"/>
      <c r="G54" s="11"/>
      <c r="H54" s="11"/>
    </row>
    <row r="55" spans="2:8" x14ac:dyDescent="0.25">
      <c r="B55" s="11"/>
      <c r="C55" s="11"/>
      <c r="D55" s="11"/>
      <c r="E55" s="11"/>
      <c r="F55" s="11"/>
      <c r="G55" s="11"/>
      <c r="H55" s="11"/>
    </row>
    <row r="56" spans="2:8" ht="18" x14ac:dyDescent="0.25">
      <c r="B56" s="1" t="s">
        <v>50</v>
      </c>
    </row>
    <row r="57" spans="2:8" x14ac:dyDescent="0.25">
      <c r="B57" s="6" t="s">
        <v>51</v>
      </c>
      <c r="C57" s="6" t="s">
        <v>52</v>
      </c>
      <c r="D57" s="6" t="s">
        <v>53</v>
      </c>
      <c r="E57" s="6" t="s">
        <v>54</v>
      </c>
      <c r="F57" s="6" t="s">
        <v>55</v>
      </c>
    </row>
    <row r="58" spans="2:8" x14ac:dyDescent="0.25">
      <c r="B58" s="3" t="s">
        <v>33</v>
      </c>
      <c r="C58" s="4">
        <v>202350</v>
      </c>
      <c r="D58" s="4">
        <v>0</v>
      </c>
      <c r="E58" s="4">
        <v>0</v>
      </c>
      <c r="F58" s="4">
        <v>0</v>
      </c>
    </row>
    <row r="59" spans="2:8" x14ac:dyDescent="0.25">
      <c r="B59" s="3" t="s">
        <v>37</v>
      </c>
      <c r="C59" s="4">
        <v>245673</v>
      </c>
      <c r="D59" s="4">
        <v>20327</v>
      </c>
      <c r="E59" s="4">
        <v>0</v>
      </c>
      <c r="F59" s="4">
        <v>0</v>
      </c>
    </row>
    <row r="60" spans="2:8" x14ac:dyDescent="0.25">
      <c r="B60" s="3" t="s">
        <v>48</v>
      </c>
      <c r="C60" s="4">
        <v>0</v>
      </c>
      <c r="D60" s="4">
        <v>510253</v>
      </c>
      <c r="E60" s="4">
        <v>1033902</v>
      </c>
      <c r="F60" s="4">
        <v>1423018</v>
      </c>
    </row>
    <row r="61" spans="2:8" x14ac:dyDescent="0.25">
      <c r="B61" s="6" t="s">
        <v>3</v>
      </c>
      <c r="C61" s="7">
        <v>448023</v>
      </c>
      <c r="D61" s="7">
        <v>530580</v>
      </c>
      <c r="E61" s="7">
        <v>1033902</v>
      </c>
      <c r="F61" s="7">
        <v>1423018</v>
      </c>
    </row>
    <row r="62" spans="2:8" x14ac:dyDescent="0.25">
      <c r="B62" s="11"/>
      <c r="C62" s="11"/>
      <c r="D62" s="11"/>
      <c r="E62" s="11"/>
      <c r="F62" s="11"/>
    </row>
    <row r="63" spans="2:8" x14ac:dyDescent="0.25">
      <c r="B63" s="11"/>
      <c r="C63" s="11"/>
      <c r="D63" s="11"/>
      <c r="E63" s="11"/>
      <c r="F63" s="11"/>
    </row>
    <row r="64" spans="2:8" x14ac:dyDescent="0.25">
      <c r="B64" s="11"/>
      <c r="C64" s="11"/>
      <c r="D64" s="11"/>
      <c r="E64" s="11"/>
      <c r="F64" s="11"/>
    </row>
    <row r="67" spans="1:7" ht="18" x14ac:dyDescent="0.25">
      <c r="A67" s="1" t="s">
        <v>56</v>
      </c>
    </row>
    <row r="68" spans="1:7" x14ac:dyDescent="0.25">
      <c r="A68" s="6" t="s">
        <v>57</v>
      </c>
      <c r="B68" s="6" t="s">
        <v>58</v>
      </c>
      <c r="C68" s="6" t="s">
        <v>53</v>
      </c>
      <c r="D68" s="6" t="s">
        <v>54</v>
      </c>
      <c r="E68" s="6" t="s">
        <v>55</v>
      </c>
      <c r="F68" s="6" t="s">
        <v>59</v>
      </c>
      <c r="G68" s="6" t="s">
        <v>60</v>
      </c>
    </row>
    <row r="69" spans="1:7" x14ac:dyDescent="0.25">
      <c r="A69" s="3" t="s">
        <v>15</v>
      </c>
      <c r="B69" s="3" t="s">
        <v>61</v>
      </c>
      <c r="C69" s="4">
        <v>177352</v>
      </c>
      <c r="D69" s="4">
        <v>63275</v>
      </c>
      <c r="E69" s="4">
        <v>31345</v>
      </c>
      <c r="F69" s="4">
        <v>29449</v>
      </c>
      <c r="G69" s="4">
        <v>36338</v>
      </c>
    </row>
    <row r="70" spans="1:7" x14ac:dyDescent="0.25">
      <c r="A70" s="3" t="s">
        <v>15</v>
      </c>
      <c r="B70" s="3" t="s">
        <v>62</v>
      </c>
      <c r="C70" s="4">
        <v>888202</v>
      </c>
      <c r="D70" s="4">
        <v>146616</v>
      </c>
      <c r="E70" s="4">
        <v>129400</v>
      </c>
      <c r="F70" s="4">
        <v>62282</v>
      </c>
      <c r="G70" s="4">
        <v>5734</v>
      </c>
    </row>
    <row r="71" spans="1:7" x14ac:dyDescent="0.25">
      <c r="A71" s="3" t="s">
        <v>15</v>
      </c>
      <c r="B71" s="3" t="s">
        <v>63</v>
      </c>
      <c r="C71" s="4">
        <v>3700</v>
      </c>
      <c r="D71" s="3"/>
      <c r="E71" s="3"/>
      <c r="F71" s="3"/>
      <c r="G71" s="3"/>
    </row>
    <row r="72" spans="1:7" x14ac:dyDescent="0.25">
      <c r="A72" s="6" t="s">
        <v>15</v>
      </c>
      <c r="B72" s="6" t="s">
        <v>3</v>
      </c>
      <c r="C72" s="7">
        <v>1069254</v>
      </c>
      <c r="D72" s="7">
        <v>209891</v>
      </c>
      <c r="E72" s="7">
        <v>160745</v>
      </c>
      <c r="F72" s="7">
        <v>91731</v>
      </c>
      <c r="G72" s="7">
        <v>42072</v>
      </c>
    </row>
    <row r="73" spans="1:7" x14ac:dyDescent="0.25">
      <c r="A73" s="3" t="s">
        <v>17</v>
      </c>
      <c r="B73" s="3" t="s">
        <v>64</v>
      </c>
      <c r="C73" s="4">
        <v>12208</v>
      </c>
      <c r="D73" s="3"/>
      <c r="E73" s="3"/>
      <c r="F73" s="3"/>
      <c r="G73" s="3"/>
    </row>
    <row r="74" spans="1:7" x14ac:dyDescent="0.25">
      <c r="A74" s="3" t="s">
        <v>17</v>
      </c>
      <c r="B74" s="3" t="s">
        <v>64</v>
      </c>
      <c r="C74" s="4">
        <v>12208</v>
      </c>
      <c r="D74" s="3"/>
      <c r="E74" s="3"/>
      <c r="F74" s="3"/>
      <c r="G74" s="3"/>
    </row>
    <row r="75" spans="1:7" x14ac:dyDescent="0.25">
      <c r="A75" s="3" t="s">
        <v>10</v>
      </c>
      <c r="B75" s="3" t="s">
        <v>65</v>
      </c>
      <c r="C75" s="4">
        <v>148208</v>
      </c>
      <c r="D75" s="4">
        <v>10644</v>
      </c>
      <c r="E75" s="4">
        <v>1346</v>
      </c>
      <c r="F75" s="3"/>
      <c r="G75" s="3"/>
    </row>
    <row r="76" spans="1:7" x14ac:dyDescent="0.25">
      <c r="A76" s="3" t="s">
        <v>10</v>
      </c>
      <c r="B76" s="3" t="s">
        <v>66</v>
      </c>
      <c r="C76" s="4">
        <v>237851</v>
      </c>
      <c r="D76" s="4">
        <v>33336</v>
      </c>
      <c r="E76" s="4">
        <v>32380</v>
      </c>
      <c r="F76" s="3"/>
      <c r="G76" s="3"/>
    </row>
    <row r="77" spans="1:7" x14ac:dyDescent="0.25">
      <c r="A77" s="3" t="s">
        <v>10</v>
      </c>
      <c r="B77" s="3" t="s">
        <v>67</v>
      </c>
      <c r="C77" s="4">
        <v>641599</v>
      </c>
      <c r="D77" s="4">
        <v>43028</v>
      </c>
      <c r="E77" s="3"/>
      <c r="F77" s="3"/>
      <c r="G77" s="3"/>
    </row>
    <row r="78" spans="1:7" x14ac:dyDescent="0.25">
      <c r="A78" s="3" t="s">
        <v>10</v>
      </c>
      <c r="B78" s="3" t="s">
        <v>68</v>
      </c>
      <c r="C78" s="4">
        <v>12893</v>
      </c>
      <c r="D78" s="3"/>
      <c r="E78" s="3"/>
      <c r="F78" s="3"/>
      <c r="G78" s="3"/>
    </row>
    <row r="79" spans="1:7" x14ac:dyDescent="0.25">
      <c r="A79" s="6" t="s">
        <v>10</v>
      </c>
      <c r="B79" s="6" t="s">
        <v>3</v>
      </c>
      <c r="C79" s="7">
        <v>1040551</v>
      </c>
      <c r="D79" s="7">
        <v>87008</v>
      </c>
      <c r="E79" s="7">
        <v>33726</v>
      </c>
      <c r="F79" s="6"/>
      <c r="G79" s="6"/>
    </row>
    <row r="80" spans="1:7" x14ac:dyDescent="0.25">
      <c r="A80" s="3" t="s">
        <v>12</v>
      </c>
      <c r="B80" s="3" t="s">
        <v>69</v>
      </c>
      <c r="C80" s="4">
        <v>1600542</v>
      </c>
      <c r="D80" s="4">
        <v>1511430</v>
      </c>
      <c r="E80" s="4">
        <v>355580</v>
      </c>
      <c r="F80" s="3"/>
      <c r="G80" s="3"/>
    </row>
    <row r="81" spans="1:7" x14ac:dyDescent="0.25">
      <c r="A81" s="3" t="s">
        <v>12</v>
      </c>
      <c r="B81" s="3" t="s">
        <v>70</v>
      </c>
      <c r="C81" s="4">
        <v>211155</v>
      </c>
      <c r="D81" s="4">
        <v>110340</v>
      </c>
      <c r="E81" s="4">
        <v>71538</v>
      </c>
      <c r="F81" s="3"/>
      <c r="G81" s="3"/>
    </row>
    <row r="82" spans="1:7" x14ac:dyDescent="0.25">
      <c r="A82" s="3" t="s">
        <v>12</v>
      </c>
      <c r="B82" s="3" t="s">
        <v>71</v>
      </c>
      <c r="C82" s="4">
        <v>42050</v>
      </c>
      <c r="D82" s="3"/>
      <c r="E82" s="3"/>
      <c r="F82" s="3"/>
      <c r="G82" s="3"/>
    </row>
    <row r="83" spans="1:7" x14ac:dyDescent="0.25">
      <c r="A83" s="6" t="s">
        <v>12</v>
      </c>
      <c r="B83" s="6" t="s">
        <v>3</v>
      </c>
      <c r="C83" s="7">
        <v>1853748</v>
      </c>
      <c r="D83" s="7">
        <v>1621771</v>
      </c>
      <c r="E83" s="7">
        <v>427118</v>
      </c>
      <c r="F83" s="6"/>
      <c r="G83" s="6"/>
    </row>
    <row r="84" spans="1:7" x14ac:dyDescent="0.25">
      <c r="A84" s="3" t="s">
        <v>13</v>
      </c>
      <c r="B84" s="3" t="s">
        <v>72</v>
      </c>
      <c r="C84" s="4">
        <v>642049</v>
      </c>
      <c r="D84" s="4">
        <v>191605</v>
      </c>
      <c r="E84" s="4">
        <v>44303</v>
      </c>
      <c r="F84" s="4">
        <v>12035</v>
      </c>
      <c r="G84" s="3"/>
    </row>
    <row r="85" spans="1:7" x14ac:dyDescent="0.25">
      <c r="A85" s="3" t="s">
        <v>13</v>
      </c>
      <c r="B85" s="3" t="s">
        <v>73</v>
      </c>
      <c r="C85" s="4">
        <v>27024</v>
      </c>
      <c r="D85" s="3"/>
      <c r="E85" s="3"/>
      <c r="F85" s="3"/>
      <c r="G85" s="3"/>
    </row>
    <row r="86" spans="1:7" x14ac:dyDescent="0.25">
      <c r="A86" s="3" t="s">
        <v>13</v>
      </c>
      <c r="B86" s="3" t="s">
        <v>74</v>
      </c>
      <c r="C86" s="3"/>
      <c r="D86" s="3"/>
      <c r="E86" s="3"/>
      <c r="F86" s="3"/>
      <c r="G86" s="4">
        <v>81128</v>
      </c>
    </row>
    <row r="87" spans="1:7" x14ac:dyDescent="0.25">
      <c r="A87" s="3" t="s">
        <v>13</v>
      </c>
      <c r="B87" s="3" t="s">
        <v>75</v>
      </c>
      <c r="C87" s="4">
        <v>600</v>
      </c>
      <c r="D87" s="3"/>
      <c r="E87" s="3"/>
      <c r="F87" s="3"/>
      <c r="G87" s="3"/>
    </row>
    <row r="88" spans="1:7" x14ac:dyDescent="0.25">
      <c r="A88" s="3" t="s">
        <v>13</v>
      </c>
      <c r="B88" s="3" t="s">
        <v>76</v>
      </c>
      <c r="C88" s="4">
        <v>5855</v>
      </c>
      <c r="D88" s="3"/>
      <c r="E88" s="3"/>
      <c r="F88" s="3"/>
      <c r="G88" s="3"/>
    </row>
    <row r="89" spans="1:7" x14ac:dyDescent="0.25">
      <c r="A89" s="3" t="s">
        <v>13</v>
      </c>
      <c r="B89" s="3" t="s">
        <v>77</v>
      </c>
      <c r="C89" s="4">
        <v>2008</v>
      </c>
      <c r="D89" s="3"/>
      <c r="E89" s="3"/>
      <c r="F89" s="3"/>
      <c r="G89" s="3"/>
    </row>
    <row r="90" spans="1:7" x14ac:dyDescent="0.25">
      <c r="A90" s="3" t="s">
        <v>13</v>
      </c>
      <c r="B90" s="3" t="s">
        <v>78</v>
      </c>
      <c r="C90" s="4">
        <v>84991</v>
      </c>
      <c r="D90" s="4">
        <v>40583</v>
      </c>
      <c r="E90" s="4">
        <v>1500</v>
      </c>
      <c r="F90" s="3"/>
      <c r="G90" s="3"/>
    </row>
    <row r="91" spans="1:7" x14ac:dyDescent="0.25">
      <c r="A91" s="3" t="s">
        <v>13</v>
      </c>
      <c r="B91" s="3" t="s">
        <v>79</v>
      </c>
      <c r="C91" s="4">
        <v>3653</v>
      </c>
      <c r="D91" s="3"/>
      <c r="E91" s="3"/>
      <c r="F91" s="3"/>
      <c r="G91" s="3"/>
    </row>
    <row r="92" spans="1:7" x14ac:dyDescent="0.25">
      <c r="A92" s="3" t="s">
        <v>13</v>
      </c>
      <c r="B92" s="3" t="s">
        <v>80</v>
      </c>
      <c r="C92" s="4">
        <v>78581</v>
      </c>
      <c r="D92" s="4">
        <v>9046</v>
      </c>
      <c r="E92" s="3"/>
      <c r="F92" s="3"/>
      <c r="G92" s="3"/>
    </row>
    <row r="93" spans="1:7" x14ac:dyDescent="0.25">
      <c r="A93" s="3" t="s">
        <v>13</v>
      </c>
      <c r="B93" s="3" t="s">
        <v>81</v>
      </c>
      <c r="C93" s="4">
        <v>191769</v>
      </c>
      <c r="D93" s="4">
        <v>21965</v>
      </c>
      <c r="E93" s="3"/>
      <c r="F93" s="3"/>
      <c r="G93" s="3"/>
    </row>
    <row r="94" spans="1:7" x14ac:dyDescent="0.25">
      <c r="A94" s="3" t="s">
        <v>13</v>
      </c>
      <c r="B94" s="3" t="s">
        <v>82</v>
      </c>
      <c r="C94" s="4">
        <v>127357</v>
      </c>
      <c r="D94" s="4">
        <v>2389</v>
      </c>
      <c r="E94" s="3"/>
      <c r="F94" s="3"/>
      <c r="G94" s="3"/>
    </row>
    <row r="95" spans="1:7" x14ac:dyDescent="0.25">
      <c r="A95" s="3" t="s">
        <v>13</v>
      </c>
      <c r="B95" s="3" t="s">
        <v>83</v>
      </c>
      <c r="C95" s="4">
        <v>78111</v>
      </c>
      <c r="D95" s="4">
        <v>11376</v>
      </c>
      <c r="E95" s="3"/>
      <c r="F95" s="3"/>
      <c r="G95" s="3"/>
    </row>
    <row r="96" spans="1:7" x14ac:dyDescent="0.25">
      <c r="A96" s="6" t="s">
        <v>13</v>
      </c>
      <c r="B96" s="6" t="s">
        <v>3</v>
      </c>
      <c r="C96" s="7">
        <v>1241998</v>
      </c>
      <c r="D96" s="7">
        <v>276963</v>
      </c>
      <c r="E96" s="7">
        <v>45803</v>
      </c>
      <c r="F96" s="7">
        <v>12035</v>
      </c>
      <c r="G96" s="7">
        <v>81128</v>
      </c>
    </row>
    <row r="97" spans="1:7" x14ac:dyDescent="0.25">
      <c r="A97" s="3" t="s">
        <v>16</v>
      </c>
      <c r="B97" s="3" t="s">
        <v>84</v>
      </c>
      <c r="C97" s="4">
        <v>163121</v>
      </c>
      <c r="D97" s="4">
        <v>36310</v>
      </c>
      <c r="E97" s="4">
        <v>4362</v>
      </c>
      <c r="F97" s="3"/>
      <c r="G97" s="3"/>
    </row>
    <row r="98" spans="1:7" x14ac:dyDescent="0.25">
      <c r="A98" s="3" t="s">
        <v>16</v>
      </c>
      <c r="B98" s="3" t="s">
        <v>85</v>
      </c>
      <c r="C98" s="4">
        <v>1084545</v>
      </c>
      <c r="D98" s="4">
        <v>792025</v>
      </c>
      <c r="E98" s="4">
        <v>41852</v>
      </c>
      <c r="F98" s="4">
        <v>27236</v>
      </c>
      <c r="G98" s="4">
        <v>18880</v>
      </c>
    </row>
    <row r="99" spans="1:7" x14ac:dyDescent="0.25">
      <c r="A99" s="3" t="s">
        <v>16</v>
      </c>
      <c r="B99" s="3" t="s">
        <v>86</v>
      </c>
      <c r="C99" s="4">
        <v>46680</v>
      </c>
      <c r="D99" s="3"/>
      <c r="E99" s="3"/>
      <c r="F99" s="3"/>
      <c r="G99" s="3"/>
    </row>
    <row r="100" spans="1:7" x14ac:dyDescent="0.25">
      <c r="A100" s="3" t="s">
        <v>16</v>
      </c>
      <c r="B100" s="3" t="s">
        <v>87</v>
      </c>
      <c r="C100" s="3"/>
      <c r="D100" s="3"/>
      <c r="E100" s="4">
        <v>723</v>
      </c>
      <c r="F100" s="3"/>
      <c r="G100" s="3"/>
    </row>
    <row r="101" spans="1:7" x14ac:dyDescent="0.25">
      <c r="A101" s="3" t="s">
        <v>16</v>
      </c>
      <c r="B101" s="3" t="s">
        <v>88</v>
      </c>
      <c r="C101" s="4">
        <v>325664</v>
      </c>
      <c r="D101" s="4">
        <v>55920</v>
      </c>
      <c r="E101" s="3"/>
      <c r="F101" s="3"/>
      <c r="G101" s="3"/>
    </row>
    <row r="102" spans="1:7" x14ac:dyDescent="0.25">
      <c r="A102" s="3" t="s">
        <v>16</v>
      </c>
      <c r="B102" s="3" t="s">
        <v>89</v>
      </c>
      <c r="C102" s="4">
        <v>48965</v>
      </c>
      <c r="D102" s="4">
        <v>163200</v>
      </c>
      <c r="E102" s="3"/>
      <c r="F102" s="3"/>
      <c r="G102" s="3"/>
    </row>
    <row r="103" spans="1:7" x14ac:dyDescent="0.25">
      <c r="A103" s="3" t="s">
        <v>16</v>
      </c>
      <c r="B103" s="3" t="s">
        <v>90</v>
      </c>
      <c r="C103" s="4">
        <v>54156</v>
      </c>
      <c r="D103" s="4">
        <v>16219</v>
      </c>
      <c r="E103" s="3"/>
      <c r="F103" s="3"/>
      <c r="G103" s="3"/>
    </row>
    <row r="104" spans="1:7" x14ac:dyDescent="0.25">
      <c r="A104" s="6" t="s">
        <v>16</v>
      </c>
      <c r="B104" s="6" t="s">
        <v>3</v>
      </c>
      <c r="C104" s="7">
        <v>1723131</v>
      </c>
      <c r="D104" s="7">
        <v>1063674</v>
      </c>
      <c r="E104" s="7">
        <v>46937</v>
      </c>
      <c r="F104" s="7">
        <v>27236</v>
      </c>
      <c r="G104" s="7">
        <v>18880</v>
      </c>
    </row>
    <row r="105" spans="1:7" x14ac:dyDescent="0.25">
      <c r="A105" s="3" t="s">
        <v>14</v>
      </c>
      <c r="B105" s="3" t="s">
        <v>91</v>
      </c>
      <c r="C105" s="4">
        <v>653782</v>
      </c>
      <c r="D105" s="4">
        <v>188795</v>
      </c>
      <c r="E105" s="4">
        <v>5527</v>
      </c>
      <c r="F105" s="3"/>
      <c r="G105" s="3"/>
    </row>
    <row r="106" spans="1:7" x14ac:dyDescent="0.25">
      <c r="A106" s="3" t="s">
        <v>14</v>
      </c>
      <c r="B106" s="3" t="s">
        <v>92</v>
      </c>
      <c r="C106" s="4">
        <v>66116</v>
      </c>
      <c r="D106" s="4">
        <v>65957</v>
      </c>
      <c r="E106" s="4">
        <v>21372</v>
      </c>
      <c r="F106" s="3"/>
      <c r="G106" s="3"/>
    </row>
    <row r="107" spans="1:7" x14ac:dyDescent="0.25">
      <c r="A107" s="3" t="s">
        <v>14</v>
      </c>
      <c r="B107" s="3" t="s">
        <v>93</v>
      </c>
      <c r="C107" s="4">
        <v>166947</v>
      </c>
      <c r="D107" s="4">
        <v>20112</v>
      </c>
      <c r="E107" s="3"/>
      <c r="F107" s="3"/>
      <c r="G107" s="3"/>
    </row>
    <row r="108" spans="1:7" x14ac:dyDescent="0.25">
      <c r="A108" s="3" t="s">
        <v>14</v>
      </c>
      <c r="B108" s="3" t="s">
        <v>94</v>
      </c>
      <c r="C108" s="4">
        <v>701060</v>
      </c>
      <c r="D108" s="4">
        <v>1034294</v>
      </c>
      <c r="E108" s="4">
        <v>1436848</v>
      </c>
      <c r="F108" s="4">
        <v>1482269</v>
      </c>
      <c r="G108" s="4">
        <v>1311558</v>
      </c>
    </row>
    <row r="109" spans="1:7" x14ac:dyDescent="0.25">
      <c r="A109" s="6" t="s">
        <v>14</v>
      </c>
      <c r="B109" s="6" t="s">
        <v>3</v>
      </c>
      <c r="C109" s="7">
        <v>1587905</v>
      </c>
      <c r="D109" s="7">
        <v>1309158</v>
      </c>
      <c r="E109" s="7">
        <v>1463747</v>
      </c>
      <c r="F109" s="7">
        <v>1482269</v>
      </c>
      <c r="G109" s="7">
        <v>1311558</v>
      </c>
    </row>
    <row r="110" spans="1:7" x14ac:dyDescent="0.25">
      <c r="A110" s="6" t="s">
        <v>3</v>
      </c>
      <c r="B110" s="6" t="s">
        <v>3</v>
      </c>
      <c r="C110" s="7">
        <v>8528794</v>
      </c>
      <c r="D110" s="7">
        <v>4568464</v>
      </c>
      <c r="E110" s="7">
        <v>2178076</v>
      </c>
      <c r="F110" s="7">
        <v>1613272</v>
      </c>
      <c r="G110" s="7">
        <v>1453638</v>
      </c>
    </row>
    <row r="111" spans="1:7" x14ac:dyDescent="0.25">
      <c r="A111" s="11"/>
      <c r="B111" s="11"/>
      <c r="C111" s="11"/>
      <c r="D111" s="11"/>
      <c r="E111" s="11"/>
      <c r="F111" s="11"/>
      <c r="G111" s="11"/>
    </row>
    <row r="112" spans="1:7" x14ac:dyDescent="0.25">
      <c r="A112" s="11"/>
      <c r="B112" s="11"/>
      <c r="C112" s="11"/>
      <c r="D112" s="11"/>
      <c r="E112" s="11"/>
      <c r="F112" s="11"/>
      <c r="G112" s="11"/>
    </row>
  </sheetData>
  <mergeCells count="10">
    <mergeCell ref="A13:B13"/>
    <mergeCell ref="C13:D13"/>
    <mergeCell ref="G13:H13"/>
    <mergeCell ref="E13:F13"/>
    <mergeCell ref="I13:J13"/>
    <mergeCell ref="A1:J1"/>
    <mergeCell ref="A3:A4"/>
    <mergeCell ref="B3:B4"/>
    <mergeCell ref="C3:F3"/>
    <mergeCell ref="G3:J3"/>
  </mergeCells>
  <conditionalFormatting sqref="C5:J12">
    <cfRule type="cellIs" dxfId="3" priority="1" operator="lessThan">
      <formula>0</formula>
    </cfRule>
  </conditionalFormatting>
  <conditionalFormatting sqref="F5:F11 J5:J11">
    <cfRule type="cellIs" dxfId="2" priority="2" operator="lessThan">
      <formula>0</formula>
    </cfRule>
  </conditionalFormatting>
  <pageMargins left="0.75" right="0.75" top="1" bottom="1" header="0.5" footer="0.5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5" x14ac:dyDescent="0.25"/>
  <sheetData>
    <row r="1" spans="1:10" x14ac:dyDescent="0.25">
      <c r="A1" s="2" t="s">
        <v>2</v>
      </c>
      <c r="B1" s="2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x14ac:dyDescent="0.25">
      <c r="A2" s="3" t="s">
        <v>10</v>
      </c>
      <c r="B2" s="3" t="s">
        <v>11</v>
      </c>
      <c r="C2" s="5">
        <v>-413</v>
      </c>
      <c r="D2" s="5">
        <v>-188</v>
      </c>
      <c r="E2" s="4">
        <v>21</v>
      </c>
      <c r="F2" s="4">
        <v>188</v>
      </c>
      <c r="G2" s="4">
        <v>302</v>
      </c>
      <c r="H2" s="4">
        <v>366</v>
      </c>
      <c r="I2" s="4">
        <v>377</v>
      </c>
      <c r="J2" s="4">
        <v>389</v>
      </c>
    </row>
    <row r="3" spans="1:10" x14ac:dyDescent="0.25">
      <c r="A3" s="3" t="s">
        <v>12</v>
      </c>
      <c r="B3" s="3" t="s">
        <v>11</v>
      </c>
      <c r="C3" s="5">
        <v>-161</v>
      </c>
      <c r="D3" s="5">
        <v>-189</v>
      </c>
      <c r="E3" s="5">
        <v>-73</v>
      </c>
      <c r="F3" s="5">
        <v>-226</v>
      </c>
      <c r="G3" s="5">
        <v>-160</v>
      </c>
      <c r="H3" s="5">
        <v>-69</v>
      </c>
      <c r="I3" s="5">
        <v>-88</v>
      </c>
      <c r="J3" s="5">
        <v>-26</v>
      </c>
    </row>
    <row r="4" spans="1:10" x14ac:dyDescent="0.25">
      <c r="A4" s="3" t="s">
        <v>13</v>
      </c>
      <c r="B4" s="3" t="s">
        <v>11</v>
      </c>
      <c r="C4" s="5">
        <v>-140</v>
      </c>
      <c r="D4" s="5">
        <v>-10</v>
      </c>
      <c r="E4" s="5">
        <v>-1</v>
      </c>
      <c r="F4" s="5">
        <v>-9</v>
      </c>
      <c r="G4" s="4">
        <v>78</v>
      </c>
      <c r="H4" s="4">
        <v>257</v>
      </c>
      <c r="I4" s="4">
        <v>388</v>
      </c>
      <c r="J4" s="4">
        <v>413</v>
      </c>
    </row>
    <row r="5" spans="1:10" x14ac:dyDescent="0.25">
      <c r="A5" s="3" t="s">
        <v>14</v>
      </c>
      <c r="B5" s="3" t="s">
        <v>11</v>
      </c>
      <c r="C5" s="5">
        <v>-33</v>
      </c>
      <c r="D5" s="5">
        <v>-66</v>
      </c>
      <c r="E5" s="5">
        <v>-18</v>
      </c>
      <c r="F5" s="5">
        <v>-73</v>
      </c>
      <c r="G5" s="4">
        <v>1</v>
      </c>
      <c r="H5" s="5">
        <v>-19</v>
      </c>
      <c r="I5" s="4">
        <v>33</v>
      </c>
      <c r="J5" s="4">
        <v>127</v>
      </c>
    </row>
    <row r="6" spans="1:10" x14ac:dyDescent="0.25">
      <c r="A6" s="3" t="s">
        <v>15</v>
      </c>
      <c r="B6" s="3" t="s">
        <v>11</v>
      </c>
      <c r="C6" s="5">
        <v>-67</v>
      </c>
      <c r="D6" s="5">
        <v>-20</v>
      </c>
      <c r="E6" s="4">
        <v>1</v>
      </c>
      <c r="F6" s="4">
        <v>96</v>
      </c>
      <c r="G6" s="4">
        <v>224</v>
      </c>
      <c r="H6" s="4">
        <v>300</v>
      </c>
      <c r="I6" s="4">
        <v>346</v>
      </c>
      <c r="J6" s="4">
        <v>350</v>
      </c>
    </row>
    <row r="7" spans="1:10" x14ac:dyDescent="0.25">
      <c r="A7" s="3" t="s">
        <v>16</v>
      </c>
      <c r="B7" s="3" t="s">
        <v>11</v>
      </c>
      <c r="C7" s="5">
        <v>-281</v>
      </c>
      <c r="D7" s="5">
        <v>-9</v>
      </c>
      <c r="E7" s="4">
        <v>22</v>
      </c>
      <c r="F7" s="4">
        <v>154</v>
      </c>
      <c r="G7" s="4">
        <v>223</v>
      </c>
      <c r="H7" s="4">
        <v>340</v>
      </c>
      <c r="I7" s="4">
        <v>273</v>
      </c>
      <c r="J7" s="4">
        <v>291</v>
      </c>
    </row>
    <row r="8" spans="1:10" x14ac:dyDescent="0.25">
      <c r="A8" s="3" t="s">
        <v>17</v>
      </c>
      <c r="B8" s="3" t="s">
        <v>11</v>
      </c>
      <c r="C8" s="4">
        <v>41</v>
      </c>
      <c r="D8" s="4">
        <v>50</v>
      </c>
      <c r="E8" s="4">
        <v>13</v>
      </c>
      <c r="F8" s="4">
        <v>93</v>
      </c>
      <c r="G8" s="4">
        <v>119</v>
      </c>
      <c r="H8" s="4">
        <v>119</v>
      </c>
      <c r="I8" s="4">
        <v>132</v>
      </c>
      <c r="J8" s="4">
        <v>159</v>
      </c>
    </row>
    <row r="9" spans="1:10" x14ac:dyDescent="0.25">
      <c r="A9" s="6" t="s">
        <v>3</v>
      </c>
      <c r="B9" s="6" t="s">
        <v>11</v>
      </c>
      <c r="C9" s="8">
        <v>-1054</v>
      </c>
      <c r="D9" s="8">
        <v>-432</v>
      </c>
      <c r="E9" s="8">
        <v>-34</v>
      </c>
      <c r="F9" s="7">
        <v>223</v>
      </c>
      <c r="G9" s="7">
        <v>786</v>
      </c>
      <c r="H9" s="7">
        <v>1293</v>
      </c>
      <c r="I9" s="7">
        <v>1461</v>
      </c>
      <c r="J9" s="7">
        <v>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5" x14ac:dyDescent="0.25"/>
  <sheetData>
    <row r="1" spans="1:7" x14ac:dyDescent="0.25">
      <c r="A1" s="2" t="s">
        <v>29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25">
      <c r="A2" s="3" t="s">
        <v>30</v>
      </c>
      <c r="B2" s="4">
        <v>3044582</v>
      </c>
      <c r="C2" s="4">
        <v>3039071</v>
      </c>
      <c r="D2" s="4">
        <v>5511</v>
      </c>
      <c r="E2" s="4">
        <v>1902474</v>
      </c>
      <c r="F2" s="4">
        <v>1927390</v>
      </c>
      <c r="G2" s="4">
        <v>-24916</v>
      </c>
    </row>
    <row r="3" spans="1:7" x14ac:dyDescent="0.25">
      <c r="A3" s="3" t="s">
        <v>31</v>
      </c>
      <c r="B3" s="4">
        <v>374277</v>
      </c>
      <c r="C3" s="4">
        <v>364668</v>
      </c>
      <c r="D3" s="4">
        <v>9609</v>
      </c>
      <c r="E3" s="4">
        <v>146650</v>
      </c>
      <c r="F3" s="4">
        <v>140529</v>
      </c>
      <c r="G3" s="4">
        <v>6121</v>
      </c>
    </row>
    <row r="4" spans="1:7" x14ac:dyDescent="0.25">
      <c r="A4" s="3" t="s">
        <v>32</v>
      </c>
      <c r="B4" s="4">
        <v>27024</v>
      </c>
      <c r="C4" s="4">
        <v>27024</v>
      </c>
      <c r="D4" s="4">
        <v>0</v>
      </c>
      <c r="E4" s="4">
        <v>0</v>
      </c>
      <c r="F4" s="4">
        <v>0</v>
      </c>
      <c r="G4" s="4">
        <v>0</v>
      </c>
    </row>
    <row r="5" spans="1:7" x14ac:dyDescent="0.25">
      <c r="A5" s="3" t="s">
        <v>33</v>
      </c>
      <c r="B5" s="4">
        <v>1499748</v>
      </c>
      <c r="C5" s="4">
        <v>1327228</v>
      </c>
      <c r="D5" s="4">
        <v>172520</v>
      </c>
      <c r="E5" s="4">
        <v>888636</v>
      </c>
      <c r="F5" s="4">
        <v>849613</v>
      </c>
      <c r="G5" s="4">
        <v>39023</v>
      </c>
    </row>
    <row r="6" spans="1:7" x14ac:dyDescent="0.25">
      <c r="A6" s="3" t="s">
        <v>34</v>
      </c>
      <c r="B6" s="4">
        <v>600</v>
      </c>
      <c r="C6" s="4">
        <v>600</v>
      </c>
      <c r="D6" s="4">
        <v>0</v>
      </c>
      <c r="E6" s="4">
        <v>0</v>
      </c>
      <c r="F6" s="4">
        <v>0</v>
      </c>
      <c r="G6" s="4">
        <v>0</v>
      </c>
    </row>
    <row r="7" spans="1:7" x14ac:dyDescent="0.25">
      <c r="A7" s="3" t="s">
        <v>35</v>
      </c>
      <c r="B7" s="4">
        <v>5855</v>
      </c>
      <c r="C7" s="4">
        <v>5850</v>
      </c>
      <c r="D7" s="4">
        <v>5</v>
      </c>
      <c r="E7" s="4">
        <v>0</v>
      </c>
      <c r="F7" s="4">
        <v>0</v>
      </c>
      <c r="G7" s="4">
        <v>0</v>
      </c>
    </row>
    <row r="8" spans="1:7" x14ac:dyDescent="0.25">
      <c r="A8" s="3" t="s">
        <v>36</v>
      </c>
      <c r="B8" s="4">
        <v>48688</v>
      </c>
      <c r="C8" s="4">
        <v>48688</v>
      </c>
      <c r="D8" s="4">
        <v>0</v>
      </c>
      <c r="E8" s="4">
        <v>0</v>
      </c>
      <c r="F8" s="4">
        <v>0</v>
      </c>
      <c r="G8" s="4">
        <v>0</v>
      </c>
    </row>
    <row r="9" spans="1:7" x14ac:dyDescent="0.25">
      <c r="A9" s="3" t="s">
        <v>37</v>
      </c>
      <c r="B9" s="4">
        <v>1542009</v>
      </c>
      <c r="C9" s="4">
        <v>1331135</v>
      </c>
      <c r="D9" s="4">
        <v>210874</v>
      </c>
      <c r="E9" s="4">
        <v>189644</v>
      </c>
      <c r="F9" s="4">
        <v>16377</v>
      </c>
      <c r="G9" s="4">
        <v>173267</v>
      </c>
    </row>
    <row r="10" spans="1:7" x14ac:dyDescent="0.25">
      <c r="A10" s="3" t="s">
        <v>38</v>
      </c>
      <c r="B10" s="4">
        <v>84991</v>
      </c>
      <c r="C10" s="4">
        <v>83590</v>
      </c>
      <c r="D10" s="4">
        <v>1401</v>
      </c>
      <c r="E10" s="4">
        <v>40583</v>
      </c>
      <c r="F10" s="4">
        <v>32510</v>
      </c>
      <c r="G10" s="4">
        <v>8073</v>
      </c>
    </row>
    <row r="11" spans="1:7" x14ac:dyDescent="0.25">
      <c r="A11" s="3" t="s">
        <v>39</v>
      </c>
      <c r="B11" s="4">
        <v>3700</v>
      </c>
      <c r="C11" s="4">
        <v>3700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5">
      <c r="A12" s="3" t="s">
        <v>40</v>
      </c>
      <c r="B12" s="4">
        <v>3653</v>
      </c>
      <c r="C12" s="4">
        <v>3653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25">
      <c r="A13" s="3" t="s">
        <v>41</v>
      </c>
      <c r="B13" s="4">
        <v>325664</v>
      </c>
      <c r="C13" s="4">
        <v>325664</v>
      </c>
      <c r="D13" s="4">
        <v>0</v>
      </c>
      <c r="E13" s="4">
        <v>55920</v>
      </c>
      <c r="F13" s="4">
        <v>55920</v>
      </c>
      <c r="G13" s="4">
        <v>0</v>
      </c>
    </row>
    <row r="14" spans="1:7" x14ac:dyDescent="0.25">
      <c r="A14" s="3" t="s">
        <v>42</v>
      </c>
      <c r="B14" s="4">
        <v>42050</v>
      </c>
      <c r="C14" s="4">
        <v>42050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25">
      <c r="A15" s="3" t="s">
        <v>43</v>
      </c>
      <c r="B15" s="4">
        <v>115081</v>
      </c>
      <c r="C15" s="4">
        <v>115081</v>
      </c>
      <c r="D15" s="4">
        <v>0</v>
      </c>
      <c r="E15" s="4">
        <v>229157</v>
      </c>
      <c r="F15" s="4">
        <v>229157</v>
      </c>
      <c r="G15" s="4">
        <v>0</v>
      </c>
    </row>
    <row r="16" spans="1:7" x14ac:dyDescent="0.25">
      <c r="A16" s="3" t="s">
        <v>44</v>
      </c>
      <c r="B16" s="4">
        <v>78581</v>
      </c>
      <c r="C16" s="4">
        <v>78581</v>
      </c>
      <c r="D16" s="4">
        <v>0</v>
      </c>
      <c r="E16" s="4">
        <v>9046</v>
      </c>
      <c r="F16" s="4">
        <v>9044</v>
      </c>
      <c r="G16" s="4">
        <v>2</v>
      </c>
    </row>
    <row r="17" spans="1:7" x14ac:dyDescent="0.25">
      <c r="A17" s="3" t="s">
        <v>45</v>
      </c>
      <c r="B17" s="4">
        <v>412872</v>
      </c>
      <c r="C17" s="4">
        <v>402861</v>
      </c>
      <c r="D17" s="4">
        <v>10011</v>
      </c>
      <c r="E17" s="4">
        <v>58296</v>
      </c>
      <c r="F17" s="4">
        <v>58289</v>
      </c>
      <c r="G17" s="4">
        <v>7</v>
      </c>
    </row>
    <row r="18" spans="1:7" x14ac:dyDescent="0.25">
      <c r="A18" s="3" t="s">
        <v>46</v>
      </c>
      <c r="B18" s="4">
        <v>127357</v>
      </c>
      <c r="C18" s="4">
        <v>127339</v>
      </c>
      <c r="D18" s="4">
        <v>18</v>
      </c>
      <c r="E18" s="4">
        <v>2389</v>
      </c>
      <c r="F18" s="4">
        <v>2389</v>
      </c>
      <c r="G18" s="4">
        <v>0</v>
      </c>
    </row>
    <row r="19" spans="1:7" x14ac:dyDescent="0.25">
      <c r="A19" s="3" t="s">
        <v>47</v>
      </c>
      <c r="B19" s="4">
        <v>78111</v>
      </c>
      <c r="C19" s="4">
        <v>81437</v>
      </c>
      <c r="D19" s="4">
        <v>-3326</v>
      </c>
      <c r="E19" s="4">
        <v>11376</v>
      </c>
      <c r="F19" s="4">
        <v>10034</v>
      </c>
      <c r="G19" s="4">
        <v>1342</v>
      </c>
    </row>
    <row r="20" spans="1:7" x14ac:dyDescent="0.25">
      <c r="A20" s="3" t="s">
        <v>48</v>
      </c>
      <c r="B20" s="4">
        <v>701060</v>
      </c>
      <c r="C20" s="4">
        <v>701060</v>
      </c>
      <c r="D20" s="4">
        <v>0</v>
      </c>
      <c r="E20" s="4">
        <v>1034294</v>
      </c>
      <c r="F20" s="4">
        <v>1034294</v>
      </c>
      <c r="G20" s="4">
        <v>0</v>
      </c>
    </row>
    <row r="21" spans="1:7" x14ac:dyDescent="0.25">
      <c r="A21" s="3" t="s">
        <v>49</v>
      </c>
      <c r="B21" s="4">
        <v>12893</v>
      </c>
      <c r="C21" s="4">
        <v>13622</v>
      </c>
      <c r="D21" s="4">
        <v>-729</v>
      </c>
      <c r="E21" s="4">
        <v>0</v>
      </c>
      <c r="F21" s="4">
        <v>0</v>
      </c>
      <c r="G21" s="4">
        <v>0</v>
      </c>
    </row>
    <row r="22" spans="1:7" x14ac:dyDescent="0.25">
      <c r="A22" s="6" t="s">
        <v>3</v>
      </c>
      <c r="B22" s="7">
        <v>8528794</v>
      </c>
      <c r="C22" s="7">
        <v>8122901</v>
      </c>
      <c r="D22" s="7">
        <v>405894</v>
      </c>
      <c r="E22" s="7">
        <v>4568464</v>
      </c>
      <c r="F22" s="7">
        <v>4365546</v>
      </c>
      <c r="G22" s="7">
        <v>202919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5" x14ac:dyDescent="0.25"/>
  <sheetData>
    <row r="1" spans="1:7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59</v>
      </c>
      <c r="G1" s="2" t="s">
        <v>60</v>
      </c>
    </row>
    <row r="2" spans="1:7" x14ac:dyDescent="0.25">
      <c r="A2" s="3" t="s">
        <v>33</v>
      </c>
      <c r="B2" s="4">
        <v>202350</v>
      </c>
      <c r="C2" s="4">
        <v>0</v>
      </c>
      <c r="D2" s="4">
        <v>0</v>
      </c>
      <c r="E2" s="4">
        <v>0</v>
      </c>
      <c r="F2" s="3"/>
      <c r="G2" s="3"/>
    </row>
    <row r="3" spans="1:7" x14ac:dyDescent="0.25">
      <c r="A3" s="3" t="s">
        <v>37</v>
      </c>
      <c r="B3" s="4">
        <v>245673</v>
      </c>
      <c r="C3" s="4">
        <v>20327</v>
      </c>
      <c r="D3" s="4">
        <v>0</v>
      </c>
      <c r="E3" s="4">
        <v>0</v>
      </c>
      <c r="F3" s="3"/>
      <c r="G3" s="3"/>
    </row>
    <row r="4" spans="1:7" x14ac:dyDescent="0.25">
      <c r="A4" s="3" t="s">
        <v>48</v>
      </c>
      <c r="B4" s="4">
        <v>0</v>
      </c>
      <c r="C4" s="4">
        <v>510253</v>
      </c>
      <c r="D4" s="4">
        <v>1033902</v>
      </c>
      <c r="E4" s="4">
        <v>1423018</v>
      </c>
      <c r="F4" s="3"/>
      <c r="G4" s="3"/>
    </row>
    <row r="5" spans="1:7" x14ac:dyDescent="0.25">
      <c r="A5" s="6" t="s">
        <v>3</v>
      </c>
      <c r="B5" s="7">
        <v>448023</v>
      </c>
      <c r="C5" s="7">
        <v>530580</v>
      </c>
      <c r="D5" s="7">
        <v>1033902</v>
      </c>
      <c r="E5" s="7">
        <v>1423018</v>
      </c>
      <c r="F5" s="6"/>
      <c r="G5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workbookViewId="0"/>
  </sheetViews>
  <sheetFormatPr defaultRowHeight="15" x14ac:dyDescent="0.25"/>
  <sheetData>
    <row r="1" spans="1:7" x14ac:dyDescent="0.25">
      <c r="A1" s="2" t="s">
        <v>57</v>
      </c>
      <c r="B1" s="2" t="s">
        <v>58</v>
      </c>
      <c r="C1" s="2" t="s">
        <v>53</v>
      </c>
      <c r="D1" s="2" t="s">
        <v>54</v>
      </c>
      <c r="E1" s="2" t="s">
        <v>55</v>
      </c>
      <c r="F1" s="2" t="s">
        <v>59</v>
      </c>
      <c r="G1" s="2" t="s">
        <v>60</v>
      </c>
    </row>
    <row r="2" spans="1:7" x14ac:dyDescent="0.25">
      <c r="A2" s="3" t="s">
        <v>15</v>
      </c>
      <c r="B2" s="3" t="s">
        <v>61</v>
      </c>
      <c r="C2" s="4">
        <v>177352</v>
      </c>
      <c r="D2" s="4">
        <v>63275</v>
      </c>
      <c r="E2" s="4">
        <v>31345</v>
      </c>
      <c r="F2" s="4">
        <v>29449</v>
      </c>
      <c r="G2" s="4">
        <v>36338</v>
      </c>
    </row>
    <row r="3" spans="1:7" x14ac:dyDescent="0.25">
      <c r="A3" s="3" t="s">
        <v>15</v>
      </c>
      <c r="B3" s="3" t="s">
        <v>62</v>
      </c>
      <c r="C3" s="4">
        <v>888202</v>
      </c>
      <c r="D3" s="4">
        <v>146616</v>
      </c>
      <c r="E3" s="4">
        <v>129400</v>
      </c>
      <c r="F3" s="4">
        <v>62282</v>
      </c>
      <c r="G3" s="4">
        <v>5734</v>
      </c>
    </row>
    <row r="4" spans="1:7" x14ac:dyDescent="0.25">
      <c r="A4" s="3" t="s">
        <v>15</v>
      </c>
      <c r="B4" s="3" t="s">
        <v>63</v>
      </c>
      <c r="C4" s="4">
        <v>3700</v>
      </c>
      <c r="D4" s="3"/>
      <c r="E4" s="3"/>
      <c r="F4" s="3"/>
      <c r="G4" s="3"/>
    </row>
    <row r="5" spans="1:7" x14ac:dyDescent="0.25">
      <c r="A5" s="6" t="s">
        <v>15</v>
      </c>
      <c r="B5" s="6" t="s">
        <v>3</v>
      </c>
      <c r="C5" s="7">
        <v>1069254</v>
      </c>
      <c r="D5" s="7">
        <v>209891</v>
      </c>
      <c r="E5" s="7">
        <v>160745</v>
      </c>
      <c r="F5" s="7">
        <v>91731</v>
      </c>
      <c r="G5" s="7">
        <v>42072</v>
      </c>
    </row>
    <row r="6" spans="1:7" x14ac:dyDescent="0.25">
      <c r="A6" s="3" t="s">
        <v>17</v>
      </c>
      <c r="B6" s="3" t="s">
        <v>64</v>
      </c>
      <c r="C6" s="4">
        <v>12208</v>
      </c>
      <c r="D6" s="3"/>
      <c r="E6" s="3"/>
      <c r="F6" s="3"/>
      <c r="G6" s="3"/>
    </row>
    <row r="7" spans="1:7" x14ac:dyDescent="0.25">
      <c r="A7" s="3" t="s">
        <v>17</v>
      </c>
      <c r="B7" s="3" t="s">
        <v>64</v>
      </c>
      <c r="C7" s="4">
        <v>12208</v>
      </c>
      <c r="D7" s="3"/>
      <c r="E7" s="3"/>
      <c r="F7" s="3"/>
      <c r="G7" s="3"/>
    </row>
    <row r="8" spans="1:7" x14ac:dyDescent="0.25">
      <c r="A8" s="3" t="s">
        <v>10</v>
      </c>
      <c r="B8" s="3" t="s">
        <v>65</v>
      </c>
      <c r="C8" s="4">
        <v>148208</v>
      </c>
      <c r="D8" s="4">
        <v>10644</v>
      </c>
      <c r="E8" s="4">
        <v>1346</v>
      </c>
      <c r="F8" s="3"/>
      <c r="G8" s="3"/>
    </row>
    <row r="9" spans="1:7" x14ac:dyDescent="0.25">
      <c r="A9" s="3" t="s">
        <v>10</v>
      </c>
      <c r="B9" s="3" t="s">
        <v>66</v>
      </c>
      <c r="C9" s="4">
        <v>237851</v>
      </c>
      <c r="D9" s="4">
        <v>33336</v>
      </c>
      <c r="E9" s="4">
        <v>32380</v>
      </c>
      <c r="F9" s="3"/>
      <c r="G9" s="3"/>
    </row>
    <row r="10" spans="1:7" x14ac:dyDescent="0.25">
      <c r="A10" s="3" t="s">
        <v>10</v>
      </c>
      <c r="B10" s="3" t="s">
        <v>67</v>
      </c>
      <c r="C10" s="4">
        <v>641599</v>
      </c>
      <c r="D10" s="4">
        <v>43028</v>
      </c>
      <c r="E10" s="3"/>
      <c r="F10" s="3"/>
      <c r="G10" s="3"/>
    </row>
    <row r="11" spans="1:7" x14ac:dyDescent="0.25">
      <c r="A11" s="3" t="s">
        <v>10</v>
      </c>
      <c r="B11" s="3" t="s">
        <v>68</v>
      </c>
      <c r="C11" s="4">
        <v>12893</v>
      </c>
      <c r="D11" s="3"/>
      <c r="E11" s="3"/>
      <c r="F11" s="3"/>
      <c r="G11" s="3"/>
    </row>
    <row r="12" spans="1:7" x14ac:dyDescent="0.25">
      <c r="A12" s="6" t="s">
        <v>10</v>
      </c>
      <c r="B12" s="6" t="s">
        <v>3</v>
      </c>
      <c r="C12" s="7">
        <v>1040551</v>
      </c>
      <c r="D12" s="7">
        <v>87008</v>
      </c>
      <c r="E12" s="7">
        <v>33726</v>
      </c>
      <c r="F12" s="6"/>
      <c r="G12" s="6"/>
    </row>
    <row r="13" spans="1:7" x14ac:dyDescent="0.25">
      <c r="A13" s="3" t="s">
        <v>12</v>
      </c>
      <c r="B13" s="3" t="s">
        <v>69</v>
      </c>
      <c r="C13" s="4">
        <v>1600542</v>
      </c>
      <c r="D13" s="4">
        <v>1511430</v>
      </c>
      <c r="E13" s="4">
        <v>355580</v>
      </c>
      <c r="F13" s="3"/>
      <c r="G13" s="3"/>
    </row>
    <row r="14" spans="1:7" x14ac:dyDescent="0.25">
      <c r="A14" s="3" t="s">
        <v>12</v>
      </c>
      <c r="B14" s="3" t="s">
        <v>70</v>
      </c>
      <c r="C14" s="4">
        <v>211155</v>
      </c>
      <c r="D14" s="4">
        <v>110340</v>
      </c>
      <c r="E14" s="4">
        <v>71538</v>
      </c>
      <c r="F14" s="3"/>
      <c r="G14" s="3"/>
    </row>
    <row r="15" spans="1:7" x14ac:dyDescent="0.25">
      <c r="A15" s="3" t="s">
        <v>12</v>
      </c>
      <c r="B15" s="3" t="s">
        <v>71</v>
      </c>
      <c r="C15" s="4">
        <v>42050</v>
      </c>
      <c r="D15" s="3"/>
      <c r="E15" s="3"/>
      <c r="F15" s="3"/>
      <c r="G15" s="3"/>
    </row>
    <row r="16" spans="1:7" x14ac:dyDescent="0.25">
      <c r="A16" s="6" t="s">
        <v>12</v>
      </c>
      <c r="B16" s="6" t="s">
        <v>3</v>
      </c>
      <c r="C16" s="7">
        <v>1853748</v>
      </c>
      <c r="D16" s="7">
        <v>1621771</v>
      </c>
      <c r="E16" s="7">
        <v>427118</v>
      </c>
      <c r="F16" s="6"/>
      <c r="G16" s="6"/>
    </row>
    <row r="17" spans="1:7" x14ac:dyDescent="0.25">
      <c r="A17" s="3" t="s">
        <v>13</v>
      </c>
      <c r="B17" s="3" t="s">
        <v>72</v>
      </c>
      <c r="C17" s="4">
        <v>642049</v>
      </c>
      <c r="D17" s="4">
        <v>191605</v>
      </c>
      <c r="E17" s="4">
        <v>44303</v>
      </c>
      <c r="F17" s="4">
        <v>12035</v>
      </c>
      <c r="G17" s="3"/>
    </row>
    <row r="18" spans="1:7" x14ac:dyDescent="0.25">
      <c r="A18" s="3" t="s">
        <v>13</v>
      </c>
      <c r="B18" s="3" t="s">
        <v>73</v>
      </c>
      <c r="C18" s="4">
        <v>27024</v>
      </c>
      <c r="D18" s="3"/>
      <c r="E18" s="3"/>
      <c r="F18" s="3"/>
      <c r="G18" s="3"/>
    </row>
    <row r="19" spans="1:7" x14ac:dyDescent="0.25">
      <c r="A19" s="3" t="s">
        <v>13</v>
      </c>
      <c r="B19" s="3" t="s">
        <v>74</v>
      </c>
      <c r="C19" s="3"/>
      <c r="D19" s="3"/>
      <c r="E19" s="3"/>
      <c r="F19" s="3"/>
      <c r="G19" s="4">
        <v>81128</v>
      </c>
    </row>
    <row r="20" spans="1:7" x14ac:dyDescent="0.25">
      <c r="A20" s="3" t="s">
        <v>13</v>
      </c>
      <c r="B20" s="3" t="s">
        <v>75</v>
      </c>
      <c r="C20" s="4">
        <v>600</v>
      </c>
      <c r="D20" s="3"/>
      <c r="E20" s="3"/>
      <c r="F20" s="3"/>
      <c r="G20" s="3"/>
    </row>
    <row r="21" spans="1:7" x14ac:dyDescent="0.25">
      <c r="A21" s="3" t="s">
        <v>13</v>
      </c>
      <c r="B21" s="3" t="s">
        <v>76</v>
      </c>
      <c r="C21" s="4">
        <v>5855</v>
      </c>
      <c r="D21" s="3"/>
      <c r="E21" s="3"/>
      <c r="F21" s="3"/>
      <c r="G21" s="3"/>
    </row>
    <row r="22" spans="1:7" x14ac:dyDescent="0.25">
      <c r="A22" s="3" t="s">
        <v>13</v>
      </c>
      <c r="B22" s="3" t="s">
        <v>77</v>
      </c>
      <c r="C22" s="4">
        <v>2008</v>
      </c>
      <c r="D22" s="3"/>
      <c r="E22" s="3"/>
      <c r="F22" s="3"/>
      <c r="G22" s="3"/>
    </row>
    <row r="23" spans="1:7" x14ac:dyDescent="0.25">
      <c r="A23" s="3" t="s">
        <v>13</v>
      </c>
      <c r="B23" s="3" t="s">
        <v>78</v>
      </c>
      <c r="C23" s="4">
        <v>84991</v>
      </c>
      <c r="D23" s="4">
        <v>40583</v>
      </c>
      <c r="E23" s="4">
        <v>1500</v>
      </c>
      <c r="F23" s="3"/>
      <c r="G23" s="3"/>
    </row>
    <row r="24" spans="1:7" x14ac:dyDescent="0.25">
      <c r="A24" s="3" t="s">
        <v>13</v>
      </c>
      <c r="B24" s="3" t="s">
        <v>79</v>
      </c>
      <c r="C24" s="4">
        <v>3653</v>
      </c>
      <c r="D24" s="3"/>
      <c r="E24" s="3"/>
      <c r="F24" s="3"/>
      <c r="G24" s="3"/>
    </row>
    <row r="25" spans="1:7" x14ac:dyDescent="0.25">
      <c r="A25" s="3" t="s">
        <v>13</v>
      </c>
      <c r="B25" s="3" t="s">
        <v>80</v>
      </c>
      <c r="C25" s="4">
        <v>78581</v>
      </c>
      <c r="D25" s="4">
        <v>9046</v>
      </c>
      <c r="E25" s="3"/>
      <c r="F25" s="3"/>
      <c r="G25" s="3"/>
    </row>
    <row r="26" spans="1:7" x14ac:dyDescent="0.25">
      <c r="A26" s="3" t="s">
        <v>13</v>
      </c>
      <c r="B26" s="3" t="s">
        <v>81</v>
      </c>
      <c r="C26" s="4">
        <v>191769</v>
      </c>
      <c r="D26" s="4">
        <v>21965</v>
      </c>
      <c r="E26" s="3"/>
      <c r="F26" s="3"/>
      <c r="G26" s="3"/>
    </row>
    <row r="27" spans="1:7" x14ac:dyDescent="0.25">
      <c r="A27" s="3" t="s">
        <v>13</v>
      </c>
      <c r="B27" s="3" t="s">
        <v>82</v>
      </c>
      <c r="C27" s="4">
        <v>127357</v>
      </c>
      <c r="D27" s="4">
        <v>2389</v>
      </c>
      <c r="E27" s="3"/>
      <c r="F27" s="3"/>
      <c r="G27" s="3"/>
    </row>
    <row r="28" spans="1:7" x14ac:dyDescent="0.25">
      <c r="A28" s="3" t="s">
        <v>13</v>
      </c>
      <c r="B28" s="3" t="s">
        <v>83</v>
      </c>
      <c r="C28" s="4">
        <v>78111</v>
      </c>
      <c r="D28" s="4">
        <v>11376</v>
      </c>
      <c r="E28" s="3"/>
      <c r="F28" s="3"/>
      <c r="G28" s="3"/>
    </row>
    <row r="29" spans="1:7" x14ac:dyDescent="0.25">
      <c r="A29" s="6" t="s">
        <v>13</v>
      </c>
      <c r="B29" s="6" t="s">
        <v>3</v>
      </c>
      <c r="C29" s="7">
        <v>1241998</v>
      </c>
      <c r="D29" s="7">
        <v>276963</v>
      </c>
      <c r="E29" s="7">
        <v>45803</v>
      </c>
      <c r="F29" s="7">
        <v>12035</v>
      </c>
      <c r="G29" s="7">
        <v>81128</v>
      </c>
    </row>
    <row r="30" spans="1:7" x14ac:dyDescent="0.25">
      <c r="A30" s="3" t="s">
        <v>16</v>
      </c>
      <c r="B30" s="3" t="s">
        <v>84</v>
      </c>
      <c r="C30" s="4">
        <v>163121</v>
      </c>
      <c r="D30" s="4">
        <v>36310</v>
      </c>
      <c r="E30" s="4">
        <v>4362</v>
      </c>
      <c r="F30" s="3"/>
      <c r="G30" s="3"/>
    </row>
    <row r="31" spans="1:7" x14ac:dyDescent="0.25">
      <c r="A31" s="3" t="s">
        <v>16</v>
      </c>
      <c r="B31" s="3" t="s">
        <v>85</v>
      </c>
      <c r="C31" s="4">
        <v>1084545</v>
      </c>
      <c r="D31" s="4">
        <v>792025</v>
      </c>
      <c r="E31" s="4">
        <v>41852</v>
      </c>
      <c r="F31" s="4">
        <v>27236</v>
      </c>
      <c r="G31" s="4">
        <v>18880</v>
      </c>
    </row>
    <row r="32" spans="1:7" x14ac:dyDescent="0.25">
      <c r="A32" s="3" t="s">
        <v>16</v>
      </c>
      <c r="B32" s="3" t="s">
        <v>86</v>
      </c>
      <c r="C32" s="4">
        <v>46680</v>
      </c>
      <c r="D32" s="3"/>
      <c r="E32" s="3"/>
      <c r="F32" s="3"/>
      <c r="G32" s="3"/>
    </row>
    <row r="33" spans="1:7" x14ac:dyDescent="0.25">
      <c r="A33" s="3" t="s">
        <v>16</v>
      </c>
      <c r="B33" s="3" t="s">
        <v>87</v>
      </c>
      <c r="C33" s="3"/>
      <c r="D33" s="3"/>
      <c r="E33" s="4">
        <v>723</v>
      </c>
      <c r="F33" s="3"/>
      <c r="G33" s="3"/>
    </row>
    <row r="34" spans="1:7" x14ac:dyDescent="0.25">
      <c r="A34" s="3" t="s">
        <v>16</v>
      </c>
      <c r="B34" s="3" t="s">
        <v>88</v>
      </c>
      <c r="C34" s="4">
        <v>325664</v>
      </c>
      <c r="D34" s="4">
        <v>55920</v>
      </c>
      <c r="E34" s="3"/>
      <c r="F34" s="3"/>
      <c r="G34" s="3"/>
    </row>
    <row r="35" spans="1:7" x14ac:dyDescent="0.25">
      <c r="A35" s="3" t="s">
        <v>16</v>
      </c>
      <c r="B35" s="3" t="s">
        <v>89</v>
      </c>
      <c r="C35" s="4">
        <v>48965</v>
      </c>
      <c r="D35" s="4">
        <v>163200</v>
      </c>
      <c r="E35" s="3"/>
      <c r="F35" s="3"/>
      <c r="G35" s="3"/>
    </row>
    <row r="36" spans="1:7" x14ac:dyDescent="0.25">
      <c r="A36" s="3" t="s">
        <v>16</v>
      </c>
      <c r="B36" s="3" t="s">
        <v>90</v>
      </c>
      <c r="C36" s="4">
        <v>54156</v>
      </c>
      <c r="D36" s="4">
        <v>16219</v>
      </c>
      <c r="E36" s="3"/>
      <c r="F36" s="3"/>
      <c r="G36" s="3"/>
    </row>
    <row r="37" spans="1:7" x14ac:dyDescent="0.25">
      <c r="A37" s="6" t="s">
        <v>16</v>
      </c>
      <c r="B37" s="6" t="s">
        <v>3</v>
      </c>
      <c r="C37" s="7">
        <v>1723131</v>
      </c>
      <c r="D37" s="7">
        <v>1063674</v>
      </c>
      <c r="E37" s="7">
        <v>46937</v>
      </c>
      <c r="F37" s="7">
        <v>27236</v>
      </c>
      <c r="G37" s="7">
        <v>18880</v>
      </c>
    </row>
    <row r="38" spans="1:7" x14ac:dyDescent="0.25">
      <c r="A38" s="3" t="s">
        <v>14</v>
      </c>
      <c r="B38" s="3" t="s">
        <v>91</v>
      </c>
      <c r="C38" s="4">
        <v>653782</v>
      </c>
      <c r="D38" s="4">
        <v>188795</v>
      </c>
      <c r="E38" s="4">
        <v>5527</v>
      </c>
      <c r="F38" s="3"/>
      <c r="G38" s="3"/>
    </row>
    <row r="39" spans="1:7" x14ac:dyDescent="0.25">
      <c r="A39" s="3" t="s">
        <v>14</v>
      </c>
      <c r="B39" s="3" t="s">
        <v>92</v>
      </c>
      <c r="C39" s="4">
        <v>66116</v>
      </c>
      <c r="D39" s="4">
        <v>65957</v>
      </c>
      <c r="E39" s="4">
        <v>21372</v>
      </c>
      <c r="F39" s="3"/>
      <c r="G39" s="3"/>
    </row>
    <row r="40" spans="1:7" x14ac:dyDescent="0.25">
      <c r="A40" s="3" t="s">
        <v>14</v>
      </c>
      <c r="B40" s="3" t="s">
        <v>93</v>
      </c>
      <c r="C40" s="4">
        <v>166947</v>
      </c>
      <c r="D40" s="4">
        <v>20112</v>
      </c>
      <c r="E40" s="3"/>
      <c r="F40" s="3"/>
      <c r="G40" s="3"/>
    </row>
    <row r="41" spans="1:7" x14ac:dyDescent="0.25">
      <c r="A41" s="3" t="s">
        <v>14</v>
      </c>
      <c r="B41" s="3" t="s">
        <v>94</v>
      </c>
      <c r="C41" s="4">
        <v>701060</v>
      </c>
      <c r="D41" s="4">
        <v>1034294</v>
      </c>
      <c r="E41" s="4">
        <v>1436848</v>
      </c>
      <c r="F41" s="4">
        <v>1482269</v>
      </c>
      <c r="G41" s="4">
        <v>1311558</v>
      </c>
    </row>
    <row r="42" spans="1:7" x14ac:dyDescent="0.25">
      <c r="A42" s="6" t="s">
        <v>14</v>
      </c>
      <c r="B42" s="6" t="s">
        <v>3</v>
      </c>
      <c r="C42" s="7">
        <v>1587905</v>
      </c>
      <c r="D42" s="7">
        <v>1309158</v>
      </c>
      <c r="E42" s="7">
        <v>1463747</v>
      </c>
      <c r="F42" s="7">
        <v>1482269</v>
      </c>
      <c r="G42" s="7">
        <v>1311558</v>
      </c>
    </row>
    <row r="43" spans="1:7" x14ac:dyDescent="0.25">
      <c r="A43" s="6" t="s">
        <v>3</v>
      </c>
      <c r="B43" s="6" t="s">
        <v>3</v>
      </c>
      <c r="C43" s="7">
        <v>8528794</v>
      </c>
      <c r="D43" s="7">
        <v>4568464</v>
      </c>
      <c r="E43" s="7">
        <v>2178076</v>
      </c>
      <c r="F43" s="7">
        <v>1613272</v>
      </c>
      <c r="G43" s="7">
        <v>1453638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5" x14ac:dyDescent="0.25"/>
  <cols>
    <col min="2" max="2" width="15" customWidth="1"/>
    <col min="3" max="4" width="13" customWidth="1"/>
  </cols>
  <sheetData>
    <row r="1" spans="1:7" x14ac:dyDescent="0.25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6</v>
      </c>
      <c r="G1" s="2" t="s">
        <v>9</v>
      </c>
    </row>
    <row r="2" spans="1:7" x14ac:dyDescent="0.25">
      <c r="A2" s="3" t="s">
        <v>15</v>
      </c>
      <c r="B2" s="4">
        <v>879855</v>
      </c>
      <c r="C2" s="4">
        <v>1069254</v>
      </c>
      <c r="D2" s="4">
        <v>70848</v>
      </c>
      <c r="E2" s="4">
        <v>209891</v>
      </c>
      <c r="F2" s="4">
        <v>189399</v>
      </c>
      <c r="G2" s="4">
        <v>139043</v>
      </c>
    </row>
    <row r="3" spans="1:7" x14ac:dyDescent="0.25">
      <c r="A3" s="3" t="s">
        <v>10</v>
      </c>
      <c r="B3" s="4">
        <v>880623</v>
      </c>
      <c r="C3" s="4">
        <v>1040551</v>
      </c>
      <c r="D3" s="4">
        <v>43992</v>
      </c>
      <c r="E3" s="4">
        <v>87008</v>
      </c>
      <c r="F3" s="4">
        <v>159928</v>
      </c>
      <c r="G3" s="4">
        <v>43016</v>
      </c>
    </row>
    <row r="4" spans="1:7" x14ac:dyDescent="0.25">
      <c r="A4" s="3" t="s">
        <v>12</v>
      </c>
      <c r="B4" s="4">
        <v>1836632</v>
      </c>
      <c r="C4" s="4">
        <v>1853748</v>
      </c>
      <c r="D4" s="4">
        <v>1646918</v>
      </c>
      <c r="E4" s="4">
        <v>1621771</v>
      </c>
      <c r="F4" s="4">
        <v>17116</v>
      </c>
      <c r="G4" s="5">
        <v>-25147</v>
      </c>
    </row>
    <row r="5" spans="1:7" x14ac:dyDescent="0.25">
      <c r="A5" s="3" t="s">
        <v>13</v>
      </c>
      <c r="B5" s="4">
        <v>1227410</v>
      </c>
      <c r="C5" s="4">
        <v>1241998</v>
      </c>
      <c r="D5" s="4">
        <v>261174</v>
      </c>
      <c r="E5" s="4">
        <v>276963</v>
      </c>
      <c r="F5" s="4">
        <v>14588</v>
      </c>
      <c r="G5" s="4">
        <v>15789</v>
      </c>
    </row>
    <row r="6" spans="1:7" x14ac:dyDescent="0.25">
      <c r="A6" s="3" t="s">
        <v>16</v>
      </c>
      <c r="B6" s="4">
        <v>1698268</v>
      </c>
      <c r="C6" s="4">
        <v>1723131</v>
      </c>
      <c r="D6" s="4">
        <v>1033456</v>
      </c>
      <c r="E6" s="4">
        <v>1063674</v>
      </c>
      <c r="F6" s="4">
        <v>24863</v>
      </c>
      <c r="G6" s="4">
        <v>30218</v>
      </c>
    </row>
    <row r="7" spans="1:7" x14ac:dyDescent="0.25">
      <c r="A7" s="3" t="s">
        <v>14</v>
      </c>
      <c r="B7" s="4">
        <v>1587905</v>
      </c>
      <c r="C7" s="4">
        <v>1587905</v>
      </c>
      <c r="D7" s="4">
        <v>1309158</v>
      </c>
      <c r="E7" s="4">
        <v>1309158</v>
      </c>
      <c r="F7" s="4">
        <v>0</v>
      </c>
      <c r="G7" s="4">
        <v>0</v>
      </c>
    </row>
    <row r="8" spans="1:7" x14ac:dyDescent="0.25">
      <c r="A8" s="3" t="s">
        <v>3</v>
      </c>
      <c r="B8" s="4">
        <v>8122901</v>
      </c>
      <c r="C8" s="4">
        <v>8528794</v>
      </c>
      <c r="D8" s="4">
        <v>4365546</v>
      </c>
      <c r="E8" s="4">
        <v>4568464</v>
      </c>
      <c r="F8" s="4">
        <v>405893</v>
      </c>
      <c r="G8" s="4">
        <v>202918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Wise</vt:lpstr>
      <vt:lpstr>Weekly Blank Days</vt:lpstr>
      <vt:lpstr>Buyer Wise</vt:lpstr>
      <vt:lpstr>Provision</vt:lpstr>
      <vt:lpstr>Unit and Buyer Wise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Mahfuzur Rahman</cp:lastModifiedBy>
  <dcterms:created xsi:type="dcterms:W3CDTF">2025-05-08T11:34:02Z</dcterms:created>
  <dcterms:modified xsi:type="dcterms:W3CDTF">2025-12-18T03:35:03Z</dcterms:modified>
</cp:coreProperties>
</file>