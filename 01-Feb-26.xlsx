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1. Work\1. Daily\Capacity Report\"/>
    </mc:Choice>
  </mc:AlternateContent>
  <xr:revisionPtr revIDLastSave="0" documentId="13_ncr:1_{9A7C0E82-9362-464D-AFCA-9C6FF6AAB4D0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Unit Wise" sheetId="1" r:id="rId1"/>
    <sheet name="Weekly Blank Days" sheetId="2" r:id="rId2"/>
    <sheet name="Buyer Wise" sheetId="3" r:id="rId3"/>
    <sheet name="Provision" sheetId="4" r:id="rId4"/>
    <sheet name="Unit and Buyer Wise" sheetId="5" r:id="rId5"/>
    <sheet name="Compari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C4" i="1"/>
  <c r="D4" i="1" s="1"/>
</calcChain>
</file>

<file path=xl/sharedStrings.xml><?xml version="1.0" encoding="utf-8"?>
<sst xmlns="http://schemas.openxmlformats.org/spreadsheetml/2006/main" count="369" uniqueCount="112">
  <si>
    <t>Capacity Report</t>
  </si>
  <si>
    <t>Monthly Blank Days</t>
  </si>
  <si>
    <t>Unit wise, Buyer wise Monthly Plan Qty.</t>
  </si>
  <si>
    <t>Factory</t>
  </si>
  <si>
    <t>-</t>
  </si>
  <si>
    <t>01-Feb (Mar)</t>
  </si>
  <si>
    <t>31-Feb (Mar)</t>
  </si>
  <si>
    <t>Change (Mar)</t>
  </si>
  <si>
    <t>01-Feb (Apr)</t>
  </si>
  <si>
    <t>31-Feb (Apr)</t>
  </si>
  <si>
    <t>Change (Apr)</t>
  </si>
  <si>
    <t>Pl. Board</t>
  </si>
  <si>
    <t>Factory+Buyer</t>
  </si>
  <si>
    <t>31-Mar-26</t>
  </si>
  <si>
    <t>30-Apr-26</t>
  </si>
  <si>
    <t>31-May-26</t>
  </si>
  <si>
    <t>30-Jun-26</t>
  </si>
  <si>
    <t>31-Jul-26</t>
  </si>
  <si>
    <t>JAL</t>
  </si>
  <si>
    <t>20 MC Line Days</t>
  </si>
  <si>
    <t>FFL2</t>
  </si>
  <si>
    <t>FFL2C &amp; A BUYING GMBH &amp; CO. KG</t>
  </si>
  <si>
    <t>JFL</t>
  </si>
  <si>
    <t>FFL2H &amp; M HENNES &amp; MAURITAZ GBC AB</t>
  </si>
  <si>
    <t>JKL</t>
  </si>
  <si>
    <t>MFL</t>
  </si>
  <si>
    <t>GTAL</t>
  </si>
  <si>
    <t>GTALH &amp; M HENNES &amp; MAURITAZ GBC AB</t>
  </si>
  <si>
    <t>JKL2</t>
  </si>
  <si>
    <t>JALC &amp; A BUYING GMBH &amp; CO. KG</t>
  </si>
  <si>
    <t>JALH &amp; M HENNES &amp; MAURITAZ GBC AB</t>
  </si>
  <si>
    <t>JALVOGUE SOURCING LIMITED</t>
  </si>
  <si>
    <t>JFLASDA STORE LTD.</t>
  </si>
  <si>
    <t>JFLBESTSELLER A/S</t>
  </si>
  <si>
    <t>Feb Plan Quantity Balance =</t>
  </si>
  <si>
    <t>JFLMQ MARQET AB</t>
  </si>
  <si>
    <t>JFLOCHNIK</t>
  </si>
  <si>
    <t>Weekly Blank Days (Factory wise)</t>
  </si>
  <si>
    <t>01-Mar-26</t>
  </si>
  <si>
    <t>08-Mar-26</t>
  </si>
  <si>
    <t>15-Mar-26</t>
  </si>
  <si>
    <t>22-Mar-26</t>
  </si>
  <si>
    <t>29-Mar-26</t>
  </si>
  <si>
    <t>05-Apr-26</t>
  </si>
  <si>
    <t>12-Apr-26</t>
  </si>
  <si>
    <t>19-Apr-26</t>
  </si>
  <si>
    <t>JKLASDA STORE LTD.</t>
  </si>
  <si>
    <t>JKLBONITA GMBS &amp; CO. KG</t>
  </si>
  <si>
    <t>JKLCAMEL ACTIVE / BHB-Fashion Service Gmbh</t>
  </si>
  <si>
    <t>JKLCECIL GmbH</t>
  </si>
  <si>
    <t>JKLG-STAR RAW CV</t>
  </si>
  <si>
    <t>JKLH &amp; M HENNES &amp; MAURITAZ GBC AB</t>
  </si>
  <si>
    <t>JKLHUGO BOSS AG</t>
  </si>
  <si>
    <t>JKLITX LADIES</t>
  </si>
  <si>
    <t>JKLNEXT SOURCING LTD.</t>
  </si>
  <si>
    <t>JKLPUMA</t>
  </si>
  <si>
    <t>JKLRalph Lauren Corporation</t>
  </si>
  <si>
    <t>Buyer wise Monthly Plan qty.</t>
  </si>
  <si>
    <t>JKLTOM TAILOR SOURCING LTD.</t>
  </si>
  <si>
    <t>Buyer Name</t>
  </si>
  <si>
    <t>JKLVF CORPORATION</t>
  </si>
  <si>
    <t>ASDA STORE LTD.</t>
  </si>
  <si>
    <t>BESTSELLER A/S</t>
  </si>
  <si>
    <t>JKL2ASDA STORE LTD.</t>
  </si>
  <si>
    <t>BONITA GMBS &amp; CO. KG</t>
  </si>
  <si>
    <t>JKL2BESTSELLER A/S</t>
  </si>
  <si>
    <t>C &amp; A BUYING GMBH &amp; CO. KG</t>
  </si>
  <si>
    <t>JKL2C &amp; A BUYING GMBH &amp; CO. KG</t>
  </si>
  <si>
    <t>CAMEL ACTIVE / BHB-Fashion Service Gmbh</t>
  </si>
  <si>
    <t>JKL2GUESS EUROPE SAGL</t>
  </si>
  <si>
    <t>CECIL GmbH</t>
  </si>
  <si>
    <t>JKL2H &amp; M HENNES &amp; MAURITAZ GBC AB</t>
  </si>
  <si>
    <t>G-STAR RAW CV</t>
  </si>
  <si>
    <t>JKL2KMART AUSTRALIA LIMITED</t>
  </si>
  <si>
    <t>GUESS EUROPE SAGL</t>
  </si>
  <si>
    <t>JKL2NEW FRONTIER</t>
  </si>
  <si>
    <t>H &amp; M HENNES &amp; MAURITAZ GBC AB</t>
  </si>
  <si>
    <t>JKL2PUMA</t>
  </si>
  <si>
    <t>HUGO BOSS AG</t>
  </si>
  <si>
    <t>INDISKA</t>
  </si>
  <si>
    <t>MFLASDA STORE LTD.</t>
  </si>
  <si>
    <t>ITX KIDS</t>
  </si>
  <si>
    <t>MFLITX KIDS</t>
  </si>
  <si>
    <t>ITX LADIES</t>
  </si>
  <si>
    <t>MFLNEW FRONTIER</t>
  </si>
  <si>
    <t>KMART AUSTRALIA LIMITED</t>
  </si>
  <si>
    <t>MFLPUMA</t>
  </si>
  <si>
    <t>MQ MARQET AB</t>
  </si>
  <si>
    <t>MFLVF CORPORATION</t>
  </si>
  <si>
    <t>NEW FRONTIER</t>
  </si>
  <si>
    <t>NEXT SOURCING LTD.</t>
  </si>
  <si>
    <t>OCHNIK</t>
  </si>
  <si>
    <t>PUMA</t>
  </si>
  <si>
    <t>Ralph Lauren Corporation</t>
  </si>
  <si>
    <t>Buyer wise Monthly Provision</t>
  </si>
  <si>
    <t>TOM TAILOR SOURCING LTD.</t>
  </si>
  <si>
    <t>Buyer</t>
  </si>
  <si>
    <t>28-Feb-26</t>
  </si>
  <si>
    <t>VF CORPORATION</t>
  </si>
  <si>
    <t>VOGUE SOURCING LIMITED</t>
  </si>
  <si>
    <t>Units</t>
  </si>
  <si>
    <t>Yesterday Qty. (Mar)</t>
  </si>
  <si>
    <t>Today Qty. (Mar)</t>
  </si>
  <si>
    <t>Yesterday Qty. (Apr)</t>
  </si>
  <si>
    <t>Today Qty. (Apr)</t>
  </si>
  <si>
    <t>March</t>
  </si>
  <si>
    <t>April</t>
  </si>
  <si>
    <t>Change</t>
  </si>
  <si>
    <t>Blank%</t>
  </si>
  <si>
    <t>Working Days</t>
  </si>
  <si>
    <t>31-Jan (Mar)</t>
  </si>
  <si>
    <t>31-Jan (Apr)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</si>
</sst>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  <font>
      <b/>
      <sz val="11"/>
      <color rgb="FFFF0000"/>
      <name val="Arial"/>
    </font>
    <font>
      <b/>
      <sz val="14"/>
      <name val="Arial"/>
    </font>
    <font>
      <b/>
      <sz val="24"/>
      <name val="Playfair Display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1E0"/>
        <bgColor rgb="FFDCE1E0"/>
      </patternFill>
    </fill>
    <fill>
      <patternFill patternType="solid">
        <fgColor theme="2" tint="-9.9978637043366805E-2"/>
        <bgColor rgb="FFDCE1E0"/>
      </patternFill>
    </fill>
    <fill>
      <patternFill patternType="solid">
        <fgColor theme="7" tint="0.79998168889431442"/>
        <bgColor rgb="FFDCE1E0"/>
      </patternFill>
    </fill>
  </fills>
  <borders count="6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/>
      <right/>
      <top/>
      <bottom/>
      <diagonal/>
    </border>
    <border>
      <left/>
      <right/>
      <top style="thin">
        <color rgb="FFA4A4A4"/>
      </top>
      <bottom style="thin">
        <color rgb="FFA4A4A4"/>
      </bottom>
      <diagonal/>
    </border>
    <border>
      <left/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 style="thin">
        <color rgb="FFA4A4A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3" fontId="2" fillId="2" borderId="1" xfId="0" applyNumberFormat="1" applyFont="1" applyFill="1" applyBorder="1"/>
    <xf numFmtId="3" fontId="3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3" fontId="3" fillId="2" borderId="1" xfId="0" applyNumberFormat="1" applyFont="1" applyFill="1" applyBorder="1"/>
    <xf numFmtId="0" fontId="0" fillId="0" borderId="2" xfId="0" applyBorder="1"/>
    <xf numFmtId="0" fontId="4" fillId="0" borderId="2" xfId="0" applyFont="1" applyBorder="1"/>
    <xf numFmtId="0" fontId="2" fillId="0" borderId="2" xfId="0" applyFont="1" applyBorder="1"/>
    <xf numFmtId="0" fontId="1" fillId="0" borderId="2" xfId="0" applyFont="1" applyBorder="1"/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8" fillId="4" borderId="1" xfId="0" applyFont="1" applyFill="1" applyBorder="1" applyAlignment="1">
      <alignment horizontal="center" vertical="top"/>
    </xf>
    <xf numFmtId="0" fontId="0" fillId="0" borderId="5" xfId="0" applyBorder="1"/>
    <xf numFmtId="16" fontId="8" fillId="2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9" fillId="0" borderId="1" xfId="0" applyFont="1" applyBorder="1"/>
    <xf numFmtId="164" fontId="10" fillId="0" borderId="1" xfId="1" applyNumberFormat="1" applyFont="1" applyBorder="1"/>
    <xf numFmtId="164" fontId="9" fillId="0" borderId="1" xfId="1" applyNumberFormat="1" applyFont="1" applyBorder="1"/>
    <xf numFmtId="0" fontId="8" fillId="2" borderId="1" xfId="0" applyFont="1" applyFill="1" applyBorder="1"/>
    <xf numFmtId="164" fontId="8" fillId="2" borderId="1" xfId="1" applyNumberFormat="1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activeCell="D5" sqref="D5"/>
    </sheetView>
  </sheetViews>
  <sheetFormatPr defaultRowHeight="15" x14ac:dyDescent="0.25"/>
  <cols>
    <col min="2" max="2" width="20" customWidth="1"/>
    <col min="3" max="8" width="13" customWidth="1"/>
    <col min="13" max="13" width="20" customWidth="1"/>
    <col min="14" max="15" width="10.85546875" bestFit="1" customWidth="1"/>
    <col min="16" max="17" width="11" bestFit="1" customWidth="1"/>
    <col min="18" max="18" width="10" bestFit="1" customWidth="1"/>
  </cols>
  <sheetData>
    <row r="1" spans="1:18" ht="38.25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8" ht="18" x14ac:dyDescent="0.25">
      <c r="A2" s="17" t="s">
        <v>1</v>
      </c>
      <c r="B2" s="11"/>
      <c r="C2" s="11"/>
      <c r="D2" s="11"/>
      <c r="E2" s="11"/>
      <c r="F2" s="11"/>
      <c r="G2" s="11"/>
      <c r="H2" s="11"/>
      <c r="I2" s="11"/>
      <c r="J2" s="11"/>
      <c r="L2" s="1" t="s">
        <v>2</v>
      </c>
    </row>
    <row r="3" spans="1:18" x14ac:dyDescent="0.25">
      <c r="A3" s="18" t="s">
        <v>3</v>
      </c>
      <c r="B3" s="18" t="s">
        <v>4</v>
      </c>
      <c r="C3" s="19" t="s">
        <v>105</v>
      </c>
      <c r="D3" s="20"/>
      <c r="E3" s="20"/>
      <c r="F3" s="21"/>
      <c r="G3" s="22" t="s">
        <v>106</v>
      </c>
      <c r="H3" s="20"/>
      <c r="I3" s="20"/>
      <c r="J3" s="21"/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23"/>
      <c r="B4" s="23"/>
      <c r="C4" s="24">
        <f ca="1">TODAY()</f>
        <v>46054</v>
      </c>
      <c r="D4" s="24">
        <f ca="1">C4-1</f>
        <v>46053</v>
      </c>
      <c r="E4" s="25" t="s">
        <v>107</v>
      </c>
      <c r="F4" s="25" t="s">
        <v>108</v>
      </c>
      <c r="G4" s="24">
        <f ca="1">TODAY()</f>
        <v>46054</v>
      </c>
      <c r="H4" s="24">
        <f ca="1">G4-1</f>
        <v>46053</v>
      </c>
      <c r="I4" s="25" t="s">
        <v>107</v>
      </c>
      <c r="J4" s="25" t="s">
        <v>108</v>
      </c>
      <c r="L4" s="4" t="s">
        <v>20</v>
      </c>
      <c r="M4" s="4" t="s">
        <v>21</v>
      </c>
      <c r="N4" s="5">
        <v>235028</v>
      </c>
      <c r="O4" s="4"/>
      <c r="P4" s="4"/>
      <c r="Q4" s="4"/>
      <c r="R4" s="4"/>
    </row>
    <row r="5" spans="1:18" x14ac:dyDescent="0.25">
      <c r="A5" s="26" t="s">
        <v>18</v>
      </c>
      <c r="B5" s="26" t="s">
        <v>19</v>
      </c>
      <c r="C5" s="5">
        <v>656</v>
      </c>
      <c r="D5" s="5">
        <v>656</v>
      </c>
      <c r="E5" s="5">
        <v>0</v>
      </c>
      <c r="F5" s="28">
        <v>0.51531814611154747</v>
      </c>
      <c r="G5" s="5">
        <v>1676</v>
      </c>
      <c r="H5" s="5">
        <v>1676</v>
      </c>
      <c r="I5" s="5">
        <v>0</v>
      </c>
      <c r="J5" s="28">
        <v>1.0005970149253731</v>
      </c>
      <c r="L5" s="4" t="s">
        <v>20</v>
      </c>
      <c r="M5" s="4" t="s">
        <v>23</v>
      </c>
      <c r="N5" s="5">
        <v>615552</v>
      </c>
      <c r="O5" s="5">
        <v>143975</v>
      </c>
      <c r="P5" s="5">
        <v>97272</v>
      </c>
      <c r="Q5" s="5">
        <v>72378</v>
      </c>
      <c r="R5" s="5">
        <v>34492</v>
      </c>
    </row>
    <row r="6" spans="1:18" x14ac:dyDescent="0.25">
      <c r="A6" s="26" t="s">
        <v>22</v>
      </c>
      <c r="B6" s="26" t="s">
        <v>19</v>
      </c>
      <c r="C6" s="5">
        <v>153</v>
      </c>
      <c r="D6" s="5">
        <v>154</v>
      </c>
      <c r="E6" s="5">
        <v>1</v>
      </c>
      <c r="F6" s="28">
        <v>0.26488919667590027</v>
      </c>
      <c r="G6" s="5">
        <v>413</v>
      </c>
      <c r="H6" s="5">
        <v>413</v>
      </c>
      <c r="I6" s="5">
        <v>0</v>
      </c>
      <c r="J6" s="28">
        <v>0.54342105263157892</v>
      </c>
      <c r="L6" s="3" t="s">
        <v>20</v>
      </c>
      <c r="M6" s="3" t="s">
        <v>4</v>
      </c>
      <c r="N6" s="6">
        <v>850580</v>
      </c>
      <c r="O6" s="6">
        <v>143975</v>
      </c>
      <c r="P6" s="6">
        <v>97272</v>
      </c>
      <c r="Q6" s="6">
        <v>72378</v>
      </c>
      <c r="R6" s="6">
        <v>34492</v>
      </c>
    </row>
    <row r="7" spans="1:18" x14ac:dyDescent="0.25">
      <c r="A7" s="26" t="s">
        <v>24</v>
      </c>
      <c r="B7" s="26" t="s">
        <v>19</v>
      </c>
      <c r="C7" s="5">
        <v>183</v>
      </c>
      <c r="D7" s="5">
        <v>183</v>
      </c>
      <c r="E7" s="5">
        <v>0</v>
      </c>
      <c r="F7" s="28">
        <v>0.12664798089899304</v>
      </c>
      <c r="G7" s="5">
        <v>1473</v>
      </c>
      <c r="H7" s="5">
        <v>1475</v>
      </c>
      <c r="I7" s="5">
        <v>2</v>
      </c>
      <c r="J7" s="28">
        <v>0.77475345167652865</v>
      </c>
      <c r="L7" s="4" t="s">
        <v>26</v>
      </c>
      <c r="M7" s="4" t="s">
        <v>27</v>
      </c>
      <c r="N7" s="5">
        <v>123733</v>
      </c>
      <c r="O7" s="4"/>
      <c r="P7" s="4"/>
      <c r="Q7" s="4"/>
      <c r="R7" s="4"/>
    </row>
    <row r="8" spans="1:18" x14ac:dyDescent="0.25">
      <c r="A8" s="26" t="s">
        <v>25</v>
      </c>
      <c r="B8" s="26" t="s">
        <v>19</v>
      </c>
      <c r="C8" s="7">
        <v>-482</v>
      </c>
      <c r="D8" s="7">
        <v>-482</v>
      </c>
      <c r="E8" s="5">
        <v>0</v>
      </c>
      <c r="F8" s="27">
        <v>-0.40524634269379517</v>
      </c>
      <c r="G8" s="7">
        <v>-337</v>
      </c>
      <c r="H8" s="7">
        <v>-337</v>
      </c>
      <c r="I8" s="5">
        <v>0</v>
      </c>
      <c r="J8" s="27">
        <v>-0.21533546325878594</v>
      </c>
      <c r="L8" s="4" t="s">
        <v>26</v>
      </c>
      <c r="M8" s="4" t="s">
        <v>27</v>
      </c>
      <c r="N8" s="5">
        <v>123733</v>
      </c>
      <c r="O8" s="4"/>
      <c r="P8" s="4"/>
      <c r="Q8" s="4"/>
      <c r="R8" s="4"/>
    </row>
    <row r="9" spans="1:18" x14ac:dyDescent="0.25">
      <c r="A9" s="26" t="s">
        <v>20</v>
      </c>
      <c r="B9" s="26" t="s">
        <v>19</v>
      </c>
      <c r="C9" s="5">
        <v>624</v>
      </c>
      <c r="D9" s="5">
        <v>615</v>
      </c>
      <c r="E9" s="7">
        <v>-9</v>
      </c>
      <c r="F9" s="28">
        <v>0.54284471509351895</v>
      </c>
      <c r="G9" s="5">
        <v>1504</v>
      </c>
      <c r="H9" s="5">
        <v>1504</v>
      </c>
      <c r="I9" s="5">
        <v>0</v>
      </c>
      <c r="J9" s="28">
        <v>0.99438016528925621</v>
      </c>
      <c r="L9" s="4" t="s">
        <v>18</v>
      </c>
      <c r="M9" s="4" t="s">
        <v>29</v>
      </c>
      <c r="N9" s="5">
        <v>225096</v>
      </c>
      <c r="O9" s="5">
        <v>3274</v>
      </c>
      <c r="P9" s="4"/>
      <c r="Q9" s="4"/>
      <c r="R9" s="4"/>
    </row>
    <row r="10" spans="1:18" x14ac:dyDescent="0.25">
      <c r="A10" s="26" t="s">
        <v>28</v>
      </c>
      <c r="B10" s="26" t="s">
        <v>19</v>
      </c>
      <c r="C10" s="5">
        <v>937</v>
      </c>
      <c r="D10" s="5">
        <v>960</v>
      </c>
      <c r="E10" s="5">
        <v>23</v>
      </c>
      <c r="F10" s="28">
        <v>0.45662768031189083</v>
      </c>
      <c r="G10" s="5">
        <v>2361</v>
      </c>
      <c r="H10" s="5">
        <v>2361</v>
      </c>
      <c r="I10" s="5">
        <v>0</v>
      </c>
      <c r="J10" s="28">
        <v>0.87444444444444447</v>
      </c>
      <c r="L10" s="4" t="s">
        <v>18</v>
      </c>
      <c r="M10" s="4" t="s">
        <v>30</v>
      </c>
      <c r="N10" s="5">
        <v>562097</v>
      </c>
      <c r="O10" s="5">
        <v>3187</v>
      </c>
      <c r="P10" s="4"/>
      <c r="Q10" s="4"/>
      <c r="R10" s="4"/>
    </row>
    <row r="11" spans="1:18" x14ac:dyDescent="0.25">
      <c r="A11" s="26" t="s">
        <v>26</v>
      </c>
      <c r="B11" s="26" t="s">
        <v>19</v>
      </c>
      <c r="C11" s="5">
        <v>671</v>
      </c>
      <c r="D11" s="5">
        <v>671</v>
      </c>
      <c r="E11" s="5">
        <v>0</v>
      </c>
      <c r="F11" s="28">
        <v>0.89181286549707606</v>
      </c>
      <c r="G11" s="5">
        <v>991</v>
      </c>
      <c r="H11" s="5">
        <v>991</v>
      </c>
      <c r="I11" s="5">
        <v>0</v>
      </c>
      <c r="J11" s="28">
        <v>1.0010101010101009</v>
      </c>
      <c r="L11" s="4" t="s">
        <v>18</v>
      </c>
      <c r="M11" s="4" t="s">
        <v>31</v>
      </c>
      <c r="N11" s="5">
        <v>45378</v>
      </c>
      <c r="O11" s="4"/>
      <c r="P11" s="4"/>
      <c r="Q11" s="4"/>
      <c r="R11" s="4"/>
    </row>
    <row r="12" spans="1:18" x14ac:dyDescent="0.25">
      <c r="A12" s="29" t="s">
        <v>4</v>
      </c>
      <c r="B12" s="29" t="s">
        <v>19</v>
      </c>
      <c r="C12" s="6">
        <v>2743</v>
      </c>
      <c r="D12" s="6">
        <v>2757</v>
      </c>
      <c r="E12" s="6">
        <v>14</v>
      </c>
      <c r="F12" s="30">
        <v>0.32555738201066997</v>
      </c>
      <c r="G12" s="6">
        <v>8082</v>
      </c>
      <c r="H12" s="6">
        <v>8085</v>
      </c>
      <c r="I12" s="6">
        <v>3</v>
      </c>
      <c r="J12" s="30">
        <v>0.72901116247604014</v>
      </c>
      <c r="L12" s="3" t="s">
        <v>18</v>
      </c>
      <c r="M12" s="3" t="s">
        <v>4</v>
      </c>
      <c r="N12" s="6">
        <v>832571</v>
      </c>
      <c r="O12" s="6">
        <v>6462</v>
      </c>
      <c r="P12" s="3"/>
      <c r="Q12" s="3"/>
      <c r="R12" s="3"/>
    </row>
    <row r="13" spans="1:18" x14ac:dyDescent="0.25">
      <c r="A13" s="31"/>
      <c r="B13" s="21"/>
      <c r="C13" s="32" t="s">
        <v>109</v>
      </c>
      <c r="D13" s="21"/>
      <c r="E13" s="32">
        <v>19</v>
      </c>
      <c r="F13" s="21"/>
      <c r="G13" s="32" t="s">
        <v>109</v>
      </c>
      <c r="H13" s="21"/>
      <c r="I13" s="32">
        <v>25</v>
      </c>
      <c r="J13" s="21"/>
      <c r="L13" s="4" t="s">
        <v>22</v>
      </c>
      <c r="M13" s="4" t="s">
        <v>32</v>
      </c>
      <c r="N13" s="5">
        <v>719225</v>
      </c>
      <c r="O13" s="5">
        <v>939621</v>
      </c>
      <c r="P13" s="5">
        <v>1297981</v>
      </c>
      <c r="Q13" s="5">
        <v>263343</v>
      </c>
      <c r="R13" s="4"/>
    </row>
    <row r="14" spans="1:18" x14ac:dyDescent="0.25">
      <c r="L14" s="4" t="s">
        <v>22</v>
      </c>
      <c r="M14" s="4" t="s">
        <v>33</v>
      </c>
      <c r="N14" s="5">
        <v>82504</v>
      </c>
      <c r="O14" s="5">
        <v>15241</v>
      </c>
      <c r="P14" s="5">
        <v>27351</v>
      </c>
      <c r="Q14" s="4"/>
      <c r="R14" s="4"/>
    </row>
    <row r="15" spans="1:18" x14ac:dyDescent="0.25">
      <c r="A15" s="8" t="s">
        <v>34</v>
      </c>
      <c r="C15" s="9">
        <v>12818959</v>
      </c>
      <c r="L15" s="4" t="s">
        <v>22</v>
      </c>
      <c r="M15" s="4" t="s">
        <v>35</v>
      </c>
      <c r="N15" s="5">
        <v>52301</v>
      </c>
      <c r="O15" s="5">
        <v>4417</v>
      </c>
      <c r="P15" s="4"/>
      <c r="Q15" s="4"/>
      <c r="R15" s="4"/>
    </row>
    <row r="16" spans="1:18" x14ac:dyDescent="0.25">
      <c r="L16" s="4" t="s">
        <v>22</v>
      </c>
      <c r="M16" s="4" t="s">
        <v>36</v>
      </c>
      <c r="N16" s="5">
        <v>135000</v>
      </c>
      <c r="O16" s="4"/>
      <c r="P16" s="4"/>
      <c r="Q16" s="4"/>
      <c r="R16" s="4"/>
    </row>
    <row r="17" spans="1:18" ht="18" x14ac:dyDescent="0.25">
      <c r="A17" s="1" t="s">
        <v>37</v>
      </c>
      <c r="L17" s="3" t="s">
        <v>22</v>
      </c>
      <c r="M17" s="3" t="s">
        <v>4</v>
      </c>
      <c r="N17" s="6">
        <v>989030</v>
      </c>
      <c r="O17" s="6">
        <v>959279</v>
      </c>
      <c r="P17" s="6">
        <v>1325332</v>
      </c>
      <c r="Q17" s="6">
        <v>263343</v>
      </c>
      <c r="R17" s="3"/>
    </row>
    <row r="18" spans="1:18" x14ac:dyDescent="0.25">
      <c r="A18" s="3" t="s">
        <v>3</v>
      </c>
      <c r="B18" s="3" t="s">
        <v>4</v>
      </c>
      <c r="C18" s="3" t="s">
        <v>38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 t="s">
        <v>44</v>
      </c>
      <c r="J18" s="3" t="s">
        <v>45</v>
      </c>
      <c r="L18" s="4" t="s">
        <v>24</v>
      </c>
      <c r="M18" s="4" t="s">
        <v>46</v>
      </c>
      <c r="N18" s="5">
        <v>41179</v>
      </c>
      <c r="O18" s="4"/>
      <c r="P18" s="4"/>
      <c r="Q18" s="4"/>
      <c r="R18" s="4"/>
    </row>
    <row r="19" spans="1:18" x14ac:dyDescent="0.25">
      <c r="A19" s="4" t="s">
        <v>18</v>
      </c>
      <c r="B19" s="4" t="s">
        <v>19</v>
      </c>
      <c r="C19" s="7">
        <v>-192</v>
      </c>
      <c r="D19" s="5">
        <v>66</v>
      </c>
      <c r="E19" s="5">
        <v>257</v>
      </c>
      <c r="F19" s="5">
        <v>172</v>
      </c>
      <c r="G19" s="5">
        <v>62</v>
      </c>
      <c r="H19" s="5">
        <v>387</v>
      </c>
      <c r="I19" s="5">
        <v>403</v>
      </c>
      <c r="J19" s="5">
        <v>338</v>
      </c>
      <c r="L19" s="4" t="s">
        <v>24</v>
      </c>
      <c r="M19" s="4" t="s">
        <v>47</v>
      </c>
      <c r="N19" s="5">
        <v>26134</v>
      </c>
      <c r="O19" s="5">
        <v>22486</v>
      </c>
      <c r="P19" s="5">
        <v>3133</v>
      </c>
      <c r="Q19" s="4"/>
      <c r="R19" s="4"/>
    </row>
    <row r="20" spans="1:18" x14ac:dyDescent="0.25">
      <c r="A20" s="4" t="s">
        <v>22</v>
      </c>
      <c r="B20" s="4" t="s">
        <v>19</v>
      </c>
      <c r="C20" s="7">
        <v>-10</v>
      </c>
      <c r="D20" s="5">
        <v>78</v>
      </c>
      <c r="E20" s="5">
        <v>59</v>
      </c>
      <c r="F20" s="5">
        <v>4</v>
      </c>
      <c r="G20" s="5">
        <v>1</v>
      </c>
      <c r="H20" s="5">
        <v>68</v>
      </c>
      <c r="I20" s="5">
        <v>86</v>
      </c>
      <c r="J20" s="5">
        <v>74</v>
      </c>
      <c r="L20" s="4" t="s">
        <v>24</v>
      </c>
      <c r="M20" s="4" t="s">
        <v>48</v>
      </c>
      <c r="N20" s="5">
        <v>21914</v>
      </c>
      <c r="O20" s="4"/>
      <c r="P20" s="4"/>
      <c r="Q20" s="4"/>
      <c r="R20" s="4"/>
    </row>
    <row r="21" spans="1:18" x14ac:dyDescent="0.25">
      <c r="A21" s="4" t="s">
        <v>24</v>
      </c>
      <c r="B21" s="4" t="s">
        <v>19</v>
      </c>
      <c r="C21" s="7">
        <v>-72</v>
      </c>
      <c r="D21" s="7">
        <v>-66</v>
      </c>
      <c r="E21" s="5">
        <v>86</v>
      </c>
      <c r="F21" s="5">
        <v>97</v>
      </c>
      <c r="G21" s="5">
        <v>22</v>
      </c>
      <c r="H21" s="5">
        <v>262</v>
      </c>
      <c r="I21" s="5">
        <v>336</v>
      </c>
      <c r="J21" s="5">
        <v>297</v>
      </c>
      <c r="L21" s="4" t="s">
        <v>24</v>
      </c>
      <c r="M21" s="4" t="s">
        <v>49</v>
      </c>
      <c r="N21" s="5">
        <v>9752</v>
      </c>
      <c r="O21" s="4"/>
      <c r="P21" s="4"/>
      <c r="Q21" s="4"/>
      <c r="R21" s="4"/>
    </row>
    <row r="22" spans="1:18" x14ac:dyDescent="0.25">
      <c r="A22" s="4" t="s">
        <v>25</v>
      </c>
      <c r="B22" s="4" t="s">
        <v>19</v>
      </c>
      <c r="C22" s="7">
        <v>-34</v>
      </c>
      <c r="D22" s="7">
        <v>-195</v>
      </c>
      <c r="E22" s="7">
        <v>-153</v>
      </c>
      <c r="F22" s="7">
        <v>-42</v>
      </c>
      <c r="G22" s="7">
        <v>-25</v>
      </c>
      <c r="H22" s="7">
        <v>-178</v>
      </c>
      <c r="I22" s="7">
        <v>-146</v>
      </c>
      <c r="J22" s="7">
        <v>-84</v>
      </c>
      <c r="L22" s="4" t="s">
        <v>24</v>
      </c>
      <c r="M22" s="4" t="s">
        <v>50</v>
      </c>
      <c r="N22" s="5">
        <v>16948</v>
      </c>
      <c r="O22" s="5">
        <v>75279</v>
      </c>
      <c r="P22" s="4"/>
      <c r="Q22" s="4"/>
      <c r="R22" s="4"/>
    </row>
    <row r="23" spans="1:18" x14ac:dyDescent="0.25">
      <c r="A23" s="4" t="s">
        <v>20</v>
      </c>
      <c r="B23" s="4" t="s">
        <v>19</v>
      </c>
      <c r="C23" s="7">
        <v>-13</v>
      </c>
      <c r="D23" s="5">
        <v>44</v>
      </c>
      <c r="E23" s="5">
        <v>286</v>
      </c>
      <c r="F23" s="5">
        <v>147</v>
      </c>
      <c r="G23" s="5">
        <v>48</v>
      </c>
      <c r="H23" s="5">
        <v>307</v>
      </c>
      <c r="I23" s="5">
        <v>351</v>
      </c>
      <c r="J23" s="5">
        <v>314</v>
      </c>
      <c r="L23" s="4" t="s">
        <v>24</v>
      </c>
      <c r="M23" s="4" t="s">
        <v>51</v>
      </c>
      <c r="N23" s="5">
        <v>11042</v>
      </c>
      <c r="O23" s="4"/>
      <c r="P23" s="4"/>
      <c r="Q23" s="4"/>
      <c r="R23" s="4"/>
    </row>
    <row r="24" spans="1:18" x14ac:dyDescent="0.25">
      <c r="A24" s="4" t="s">
        <v>28</v>
      </c>
      <c r="B24" s="4" t="s">
        <v>19</v>
      </c>
      <c r="C24" s="7">
        <v>-97</v>
      </c>
      <c r="D24" s="5">
        <v>348</v>
      </c>
      <c r="E24" s="5">
        <v>286</v>
      </c>
      <c r="F24" s="5">
        <v>107</v>
      </c>
      <c r="G24" s="5">
        <v>45</v>
      </c>
      <c r="H24" s="5">
        <v>359</v>
      </c>
      <c r="I24" s="5">
        <v>541</v>
      </c>
      <c r="J24" s="5">
        <v>510</v>
      </c>
      <c r="L24" s="4" t="s">
        <v>24</v>
      </c>
      <c r="M24" s="4" t="s">
        <v>52</v>
      </c>
      <c r="N24" s="5">
        <v>40219</v>
      </c>
      <c r="O24" s="5">
        <v>20068</v>
      </c>
      <c r="P24" s="4"/>
      <c r="Q24" s="4"/>
      <c r="R24" s="4"/>
    </row>
    <row r="25" spans="1:18" x14ac:dyDescent="0.25">
      <c r="A25" s="4" t="s">
        <v>26</v>
      </c>
      <c r="B25" s="4" t="s">
        <v>19</v>
      </c>
      <c r="C25" s="5">
        <v>159</v>
      </c>
      <c r="D25" s="5">
        <v>176</v>
      </c>
      <c r="E25" s="5">
        <v>232</v>
      </c>
      <c r="F25" s="5">
        <v>119</v>
      </c>
      <c r="G25" s="5">
        <v>40</v>
      </c>
      <c r="H25" s="5">
        <v>238</v>
      </c>
      <c r="I25" s="5">
        <v>238</v>
      </c>
      <c r="J25" s="5">
        <v>198</v>
      </c>
      <c r="L25" s="4" t="s">
        <v>24</v>
      </c>
      <c r="M25" s="4" t="s">
        <v>53</v>
      </c>
      <c r="N25" s="5">
        <v>48477</v>
      </c>
      <c r="O25" s="4"/>
      <c r="P25" s="4"/>
      <c r="Q25" s="4"/>
      <c r="R25" s="4"/>
    </row>
    <row r="26" spans="1:18" x14ac:dyDescent="0.25">
      <c r="A26" s="3" t="s">
        <v>4</v>
      </c>
      <c r="B26" s="3" t="s">
        <v>19</v>
      </c>
      <c r="C26" s="10">
        <v>-260</v>
      </c>
      <c r="D26" s="6">
        <v>451</v>
      </c>
      <c r="E26" s="6">
        <v>1054</v>
      </c>
      <c r="F26" s="6">
        <v>604</v>
      </c>
      <c r="G26" s="6">
        <v>193</v>
      </c>
      <c r="H26" s="6">
        <v>1442</v>
      </c>
      <c r="I26" s="6">
        <v>1810</v>
      </c>
      <c r="J26" s="6">
        <v>1647</v>
      </c>
      <c r="L26" s="4" t="s">
        <v>24</v>
      </c>
      <c r="M26" s="4" t="s">
        <v>54</v>
      </c>
      <c r="N26" s="5">
        <v>87801</v>
      </c>
      <c r="O26" s="5">
        <v>11682</v>
      </c>
      <c r="P26" s="4"/>
      <c r="Q26" s="4"/>
      <c r="R26" s="4"/>
    </row>
    <row r="27" spans="1:18" x14ac:dyDescent="0.25">
      <c r="L27" s="4" t="s">
        <v>24</v>
      </c>
      <c r="M27" s="4" t="s">
        <v>55</v>
      </c>
      <c r="N27" s="5">
        <v>290128</v>
      </c>
      <c r="O27" s="5">
        <v>119067</v>
      </c>
      <c r="P27" s="4"/>
      <c r="Q27" s="4"/>
      <c r="R27" s="4"/>
    </row>
    <row r="28" spans="1:18" x14ac:dyDescent="0.25">
      <c r="L28" s="4" t="s">
        <v>24</v>
      </c>
      <c r="M28" s="4" t="s">
        <v>56</v>
      </c>
      <c r="N28" s="5">
        <v>169246</v>
      </c>
      <c r="O28" s="4"/>
      <c r="P28" s="4"/>
      <c r="Q28" s="4"/>
      <c r="R28" s="4"/>
    </row>
    <row r="29" spans="1:18" ht="18" x14ac:dyDescent="0.25">
      <c r="B29" s="1" t="s">
        <v>57</v>
      </c>
      <c r="L29" s="4" t="s">
        <v>24</v>
      </c>
      <c r="M29" s="4" t="s">
        <v>58</v>
      </c>
      <c r="N29" s="5">
        <v>16536</v>
      </c>
      <c r="O29" s="4"/>
      <c r="P29" s="4"/>
      <c r="Q29" s="4"/>
      <c r="R29" s="4"/>
    </row>
    <row r="30" spans="1:18" x14ac:dyDescent="0.25">
      <c r="B30" s="3" t="s">
        <v>59</v>
      </c>
      <c r="C30" s="3" t="s">
        <v>5</v>
      </c>
      <c r="D30" s="3" t="s">
        <v>110</v>
      </c>
      <c r="E30" s="3" t="s">
        <v>7</v>
      </c>
      <c r="F30" s="3" t="s">
        <v>8</v>
      </c>
      <c r="G30" s="3" t="s">
        <v>111</v>
      </c>
      <c r="H30" s="3" t="s">
        <v>10</v>
      </c>
      <c r="L30" s="4" t="s">
        <v>24</v>
      </c>
      <c r="M30" s="4" t="s">
        <v>60</v>
      </c>
      <c r="N30" s="5">
        <v>19779</v>
      </c>
      <c r="O30" s="4"/>
      <c r="P30" s="4"/>
      <c r="Q30" s="4"/>
      <c r="R30" s="4"/>
    </row>
    <row r="31" spans="1:18" x14ac:dyDescent="0.25">
      <c r="B31" s="4" t="s">
        <v>61</v>
      </c>
      <c r="C31" s="5">
        <v>1182705</v>
      </c>
      <c r="D31" s="5">
        <v>1178582</v>
      </c>
      <c r="E31" s="5">
        <v>4123</v>
      </c>
      <c r="F31" s="5">
        <v>1358234</v>
      </c>
      <c r="G31" s="5">
        <v>1337179</v>
      </c>
      <c r="H31" s="5">
        <v>21055</v>
      </c>
      <c r="L31" s="3" t="s">
        <v>24</v>
      </c>
      <c r="M31" s="3" t="s">
        <v>4</v>
      </c>
      <c r="N31" s="6">
        <v>799157</v>
      </c>
      <c r="O31" s="6">
        <v>248581</v>
      </c>
      <c r="P31" s="6">
        <v>3133</v>
      </c>
      <c r="Q31" s="3"/>
      <c r="R31" s="3"/>
    </row>
    <row r="32" spans="1:18" x14ac:dyDescent="0.25">
      <c r="B32" s="4" t="s">
        <v>62</v>
      </c>
      <c r="C32" s="5">
        <v>149396</v>
      </c>
      <c r="D32" s="5">
        <v>149395</v>
      </c>
      <c r="E32" s="5">
        <v>1</v>
      </c>
      <c r="F32" s="5">
        <v>20399</v>
      </c>
      <c r="G32" s="5">
        <v>20399</v>
      </c>
      <c r="H32" s="5">
        <v>0</v>
      </c>
      <c r="L32" s="4" t="s">
        <v>28</v>
      </c>
      <c r="M32" s="4" t="s">
        <v>63</v>
      </c>
      <c r="N32" s="5">
        <v>215227</v>
      </c>
      <c r="O32" s="5">
        <v>275072</v>
      </c>
      <c r="P32" s="5">
        <v>174281</v>
      </c>
      <c r="Q32" s="5">
        <v>54103</v>
      </c>
      <c r="R32" s="4"/>
    </row>
    <row r="33" spans="2:18" x14ac:dyDescent="0.25">
      <c r="B33" s="4" t="s">
        <v>64</v>
      </c>
      <c r="C33" s="5">
        <v>26134</v>
      </c>
      <c r="D33" s="5">
        <v>26134</v>
      </c>
      <c r="E33" s="5">
        <v>0</v>
      </c>
      <c r="F33" s="5">
        <v>22486</v>
      </c>
      <c r="G33" s="5">
        <v>22486</v>
      </c>
      <c r="H33" s="5">
        <v>0</v>
      </c>
      <c r="L33" s="4" t="s">
        <v>28</v>
      </c>
      <c r="M33" s="4" t="s">
        <v>65</v>
      </c>
      <c r="N33" s="5">
        <v>66893</v>
      </c>
      <c r="O33" s="5">
        <v>5158</v>
      </c>
      <c r="P33" s="5">
        <v>30629</v>
      </c>
      <c r="Q33" s="4"/>
      <c r="R33" s="4"/>
    </row>
    <row r="34" spans="2:18" x14ac:dyDescent="0.25">
      <c r="B34" s="4" t="s">
        <v>66</v>
      </c>
      <c r="C34" s="5">
        <v>590403</v>
      </c>
      <c r="D34" s="5">
        <v>589142</v>
      </c>
      <c r="E34" s="5">
        <v>1261</v>
      </c>
      <c r="F34" s="5">
        <v>3274</v>
      </c>
      <c r="G34" s="5">
        <v>3274</v>
      </c>
      <c r="H34" s="5">
        <v>0</v>
      </c>
      <c r="L34" s="4" t="s">
        <v>28</v>
      </c>
      <c r="M34" s="4" t="s">
        <v>67</v>
      </c>
      <c r="N34" s="5">
        <v>130279</v>
      </c>
      <c r="O34" s="4"/>
      <c r="P34" s="4"/>
      <c r="Q34" s="4"/>
      <c r="R34" s="4"/>
    </row>
    <row r="35" spans="2:18" x14ac:dyDescent="0.25">
      <c r="B35" s="4" t="s">
        <v>68</v>
      </c>
      <c r="C35" s="5">
        <v>21914</v>
      </c>
      <c r="D35" s="5">
        <v>21914</v>
      </c>
      <c r="E35" s="5">
        <v>0</v>
      </c>
      <c r="F35" s="5">
        <v>0</v>
      </c>
      <c r="G35" s="5">
        <v>0</v>
      </c>
      <c r="H35" s="5">
        <v>0</v>
      </c>
      <c r="L35" s="4" t="s">
        <v>28</v>
      </c>
      <c r="M35" s="4" t="s">
        <v>69</v>
      </c>
      <c r="N35" s="5">
        <v>78952</v>
      </c>
      <c r="O35" s="5">
        <v>5586</v>
      </c>
      <c r="P35" s="4"/>
      <c r="Q35" s="4"/>
      <c r="R35" s="4"/>
    </row>
    <row r="36" spans="2:18" x14ac:dyDescent="0.25">
      <c r="B36" s="4" t="s">
        <v>70</v>
      </c>
      <c r="C36" s="5">
        <v>9752</v>
      </c>
      <c r="D36" s="5">
        <v>9752</v>
      </c>
      <c r="E36" s="5">
        <v>0</v>
      </c>
      <c r="F36" s="5">
        <v>0</v>
      </c>
      <c r="G36" s="5">
        <v>0</v>
      </c>
      <c r="H36" s="5">
        <v>0</v>
      </c>
      <c r="L36" s="4" t="s">
        <v>28</v>
      </c>
      <c r="M36" s="4" t="s">
        <v>71</v>
      </c>
      <c r="N36" s="5">
        <v>54316</v>
      </c>
      <c r="O36" s="4"/>
      <c r="P36" s="4"/>
      <c r="Q36" s="4"/>
      <c r="R36" s="4"/>
    </row>
    <row r="37" spans="2:18" x14ac:dyDescent="0.25">
      <c r="B37" s="4" t="s">
        <v>72</v>
      </c>
      <c r="C37" s="5">
        <v>16948</v>
      </c>
      <c r="D37" s="5">
        <v>16948</v>
      </c>
      <c r="E37" s="5">
        <v>0</v>
      </c>
      <c r="F37" s="5">
        <v>75279</v>
      </c>
      <c r="G37" s="5">
        <v>75279</v>
      </c>
      <c r="H37" s="5">
        <v>0</v>
      </c>
      <c r="L37" s="4" t="s">
        <v>28</v>
      </c>
      <c r="M37" s="4" t="s">
        <v>73</v>
      </c>
      <c r="N37" s="5">
        <v>11889</v>
      </c>
      <c r="O37" s="5">
        <v>13223</v>
      </c>
      <c r="P37" s="4"/>
      <c r="Q37" s="4"/>
      <c r="R37" s="4"/>
    </row>
    <row r="38" spans="2:18" x14ac:dyDescent="0.25">
      <c r="B38" s="4" t="s">
        <v>74</v>
      </c>
      <c r="C38" s="5">
        <v>78952</v>
      </c>
      <c r="D38" s="5">
        <v>78952</v>
      </c>
      <c r="E38" s="5">
        <v>0</v>
      </c>
      <c r="F38" s="5">
        <v>5586</v>
      </c>
      <c r="G38" s="5">
        <v>5586</v>
      </c>
      <c r="H38" s="5">
        <v>0</v>
      </c>
      <c r="L38" s="4" t="s">
        <v>28</v>
      </c>
      <c r="M38" s="4" t="s">
        <v>75</v>
      </c>
      <c r="N38" s="5">
        <v>206788</v>
      </c>
      <c r="O38" s="5">
        <v>30148</v>
      </c>
      <c r="P38" s="4"/>
      <c r="Q38" s="4"/>
      <c r="R38" s="4"/>
    </row>
    <row r="39" spans="2:18" x14ac:dyDescent="0.25">
      <c r="B39" s="4" t="s">
        <v>76</v>
      </c>
      <c r="C39" s="5">
        <v>1366741</v>
      </c>
      <c r="D39" s="5">
        <v>1363900</v>
      </c>
      <c r="E39" s="5">
        <v>2841</v>
      </c>
      <c r="F39" s="5">
        <v>147162</v>
      </c>
      <c r="G39" s="5">
        <v>147162</v>
      </c>
      <c r="H39" s="5">
        <v>0</v>
      </c>
      <c r="L39" s="4" t="s">
        <v>28</v>
      </c>
      <c r="M39" s="4" t="s">
        <v>77</v>
      </c>
      <c r="N39" s="5">
        <v>448835</v>
      </c>
      <c r="O39" s="5">
        <v>143115</v>
      </c>
      <c r="P39" s="5">
        <v>8745</v>
      </c>
      <c r="Q39" s="4"/>
      <c r="R39" s="4"/>
    </row>
    <row r="40" spans="2:18" x14ac:dyDescent="0.25">
      <c r="B40" s="4" t="s">
        <v>78</v>
      </c>
      <c r="C40" s="5">
        <v>40219</v>
      </c>
      <c r="D40" s="5">
        <v>40219</v>
      </c>
      <c r="E40" s="5">
        <v>0</v>
      </c>
      <c r="F40" s="5">
        <v>20068</v>
      </c>
      <c r="G40" s="5">
        <v>20068</v>
      </c>
      <c r="H40" s="5">
        <v>0</v>
      </c>
      <c r="L40" s="3" t="s">
        <v>28</v>
      </c>
      <c r="M40" s="3" t="s">
        <v>4</v>
      </c>
      <c r="N40" s="6">
        <v>1213179</v>
      </c>
      <c r="O40" s="6">
        <v>472302</v>
      </c>
      <c r="P40" s="6">
        <v>213655</v>
      </c>
      <c r="Q40" s="6">
        <v>54103</v>
      </c>
      <c r="R40" s="3"/>
    </row>
    <row r="41" spans="2:18" x14ac:dyDescent="0.25">
      <c r="B41" s="4" t="s">
        <v>79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L41" s="4" t="s">
        <v>25</v>
      </c>
      <c r="M41" s="4" t="s">
        <v>80</v>
      </c>
      <c r="N41" s="5">
        <v>207074</v>
      </c>
      <c r="O41" s="5">
        <v>143541</v>
      </c>
      <c r="P41" s="5">
        <v>301640</v>
      </c>
      <c r="Q41" s="5">
        <v>51888</v>
      </c>
      <c r="R41" s="4"/>
    </row>
    <row r="42" spans="2:18" x14ac:dyDescent="0.25">
      <c r="B42" s="4" t="s">
        <v>81</v>
      </c>
      <c r="C42" s="5">
        <v>21574</v>
      </c>
      <c r="D42" s="5">
        <v>21574</v>
      </c>
      <c r="E42" s="5">
        <v>0</v>
      </c>
      <c r="F42" s="5">
        <v>0</v>
      </c>
      <c r="G42" s="5">
        <v>0</v>
      </c>
      <c r="H42" s="5">
        <v>0</v>
      </c>
      <c r="L42" s="4" t="s">
        <v>25</v>
      </c>
      <c r="M42" s="4" t="s">
        <v>82</v>
      </c>
      <c r="N42" s="5">
        <v>21574</v>
      </c>
      <c r="O42" s="4"/>
      <c r="P42" s="4"/>
      <c r="Q42" s="4"/>
      <c r="R42" s="4"/>
    </row>
    <row r="43" spans="2:18" x14ac:dyDescent="0.25">
      <c r="B43" s="4" t="s">
        <v>83</v>
      </c>
      <c r="C43" s="5">
        <v>48477</v>
      </c>
      <c r="D43" s="5">
        <v>48477</v>
      </c>
      <c r="E43" s="5">
        <v>0</v>
      </c>
      <c r="F43" s="5">
        <v>0</v>
      </c>
      <c r="G43" s="5">
        <v>0</v>
      </c>
      <c r="H43" s="5">
        <v>0</v>
      </c>
      <c r="L43" s="4" t="s">
        <v>25</v>
      </c>
      <c r="M43" s="4" t="s">
        <v>84</v>
      </c>
      <c r="N43" s="5">
        <v>29435</v>
      </c>
      <c r="O43" s="5">
        <v>28705</v>
      </c>
      <c r="P43" s="4"/>
      <c r="Q43" s="4"/>
      <c r="R43" s="4"/>
    </row>
    <row r="44" spans="2:18" x14ac:dyDescent="0.25">
      <c r="B44" s="4" t="s">
        <v>85</v>
      </c>
      <c r="C44" s="5">
        <v>11889</v>
      </c>
      <c r="D44" s="5">
        <v>11889</v>
      </c>
      <c r="E44" s="5">
        <v>0</v>
      </c>
      <c r="F44" s="5">
        <v>13223</v>
      </c>
      <c r="G44" s="5">
        <v>13223</v>
      </c>
      <c r="H44" s="5">
        <v>0</v>
      </c>
      <c r="L44" s="4" t="s">
        <v>25</v>
      </c>
      <c r="M44" s="4" t="s">
        <v>86</v>
      </c>
      <c r="N44" s="5">
        <v>306478</v>
      </c>
      <c r="O44" s="5">
        <v>114892</v>
      </c>
      <c r="P44" s="5">
        <v>7942</v>
      </c>
      <c r="Q44" s="4"/>
      <c r="R44" s="4"/>
    </row>
    <row r="45" spans="2:18" x14ac:dyDescent="0.25">
      <c r="B45" s="4" t="s">
        <v>87</v>
      </c>
      <c r="C45" s="5">
        <v>52301</v>
      </c>
      <c r="D45" s="5">
        <v>52301</v>
      </c>
      <c r="E45" s="5">
        <v>0</v>
      </c>
      <c r="F45" s="5">
        <v>4417</v>
      </c>
      <c r="G45" s="5">
        <v>197</v>
      </c>
      <c r="H45" s="5">
        <v>4220</v>
      </c>
      <c r="L45" s="4" t="s">
        <v>25</v>
      </c>
      <c r="M45" s="4" t="s">
        <v>88</v>
      </c>
      <c r="N45" s="5">
        <v>955196</v>
      </c>
      <c r="O45" s="5">
        <v>1459127</v>
      </c>
      <c r="P45" s="5">
        <v>580643</v>
      </c>
      <c r="Q45" s="5">
        <v>800000</v>
      </c>
      <c r="R45" s="5">
        <v>800000</v>
      </c>
    </row>
    <row r="46" spans="2:18" x14ac:dyDescent="0.25">
      <c r="B46" s="4" t="s">
        <v>89</v>
      </c>
      <c r="C46" s="5">
        <v>236223</v>
      </c>
      <c r="D46" s="5">
        <v>236223</v>
      </c>
      <c r="E46" s="5">
        <v>0</v>
      </c>
      <c r="F46" s="5">
        <v>58853</v>
      </c>
      <c r="G46" s="5">
        <v>58853</v>
      </c>
      <c r="H46" s="5">
        <v>0</v>
      </c>
      <c r="L46" s="3" t="s">
        <v>25</v>
      </c>
      <c r="M46" s="3" t="s">
        <v>4</v>
      </c>
      <c r="N46" s="6">
        <v>1519756</v>
      </c>
      <c r="O46" s="6">
        <v>1746265</v>
      </c>
      <c r="P46" s="6">
        <v>890226</v>
      </c>
      <c r="Q46" s="6">
        <v>851888</v>
      </c>
      <c r="R46" s="6">
        <v>800000</v>
      </c>
    </row>
    <row r="47" spans="2:18" x14ac:dyDescent="0.25">
      <c r="B47" s="4" t="s">
        <v>90</v>
      </c>
      <c r="C47" s="5">
        <v>87801</v>
      </c>
      <c r="D47" s="5">
        <v>87801</v>
      </c>
      <c r="E47" s="5">
        <v>0</v>
      </c>
      <c r="F47" s="5">
        <v>11682</v>
      </c>
      <c r="G47" s="5">
        <v>11682</v>
      </c>
      <c r="H47" s="5">
        <v>0</v>
      </c>
      <c r="L47" s="3" t="s">
        <v>4</v>
      </c>
      <c r="M47" s="3" t="s">
        <v>4</v>
      </c>
      <c r="N47" s="6">
        <v>6328005</v>
      </c>
      <c r="O47" s="6">
        <v>3576864</v>
      </c>
      <c r="P47" s="6">
        <v>2529618</v>
      </c>
      <c r="Q47" s="6">
        <v>1241712</v>
      </c>
      <c r="R47" s="6">
        <v>834492</v>
      </c>
    </row>
    <row r="48" spans="2:18" x14ac:dyDescent="0.25">
      <c r="B48" s="4" t="s">
        <v>91</v>
      </c>
      <c r="C48" s="5">
        <v>135000</v>
      </c>
      <c r="D48" s="5">
        <v>135000</v>
      </c>
      <c r="E48" s="5">
        <v>0</v>
      </c>
      <c r="F48" s="5">
        <v>0</v>
      </c>
      <c r="G48" s="5">
        <v>0</v>
      </c>
      <c r="H48" s="5">
        <v>0</v>
      </c>
      <c r="L48" s="11"/>
      <c r="M48" s="11"/>
      <c r="N48" s="11"/>
      <c r="O48" s="11"/>
      <c r="P48" s="11"/>
      <c r="Q48" s="11"/>
      <c r="R48" s="11"/>
    </row>
    <row r="49" spans="2:18" x14ac:dyDescent="0.25">
      <c r="B49" s="4" t="s">
        <v>92</v>
      </c>
      <c r="C49" s="5">
        <v>1045440</v>
      </c>
      <c r="D49" s="5">
        <v>1045439</v>
      </c>
      <c r="E49" s="5">
        <v>1</v>
      </c>
      <c r="F49" s="5">
        <v>377073</v>
      </c>
      <c r="G49" s="5">
        <v>377073</v>
      </c>
      <c r="H49" s="5">
        <v>0</v>
      </c>
      <c r="L49" s="11"/>
      <c r="M49" s="11"/>
      <c r="N49" s="11"/>
      <c r="O49" s="11"/>
      <c r="P49" s="11"/>
      <c r="Q49" s="11"/>
      <c r="R49" s="11"/>
    </row>
    <row r="50" spans="2:18" ht="18" x14ac:dyDescent="0.25">
      <c r="B50" s="4" t="s">
        <v>93</v>
      </c>
      <c r="C50" s="5">
        <v>169246</v>
      </c>
      <c r="D50" s="5">
        <v>168884</v>
      </c>
      <c r="E50" s="5">
        <v>362</v>
      </c>
      <c r="F50" s="5">
        <v>0</v>
      </c>
      <c r="G50" s="5">
        <v>310</v>
      </c>
      <c r="H50" s="7">
        <v>-310</v>
      </c>
      <c r="L50" s="11"/>
      <c r="M50" s="12" t="s">
        <v>94</v>
      </c>
      <c r="N50" s="11"/>
      <c r="O50" s="11"/>
      <c r="P50" s="11"/>
      <c r="Q50" s="11"/>
      <c r="R50" s="11"/>
    </row>
    <row r="51" spans="2:18" x14ac:dyDescent="0.25">
      <c r="B51" s="4" t="s">
        <v>95</v>
      </c>
      <c r="C51" s="5">
        <v>16536</v>
      </c>
      <c r="D51" s="5">
        <v>14545</v>
      </c>
      <c r="E51" s="5">
        <v>1991</v>
      </c>
      <c r="F51" s="5">
        <v>0</v>
      </c>
      <c r="G51" s="5">
        <v>0</v>
      </c>
      <c r="H51" s="5">
        <v>0</v>
      </c>
      <c r="L51" s="11"/>
      <c r="M51" s="13" t="s">
        <v>96</v>
      </c>
      <c r="N51" s="13" t="s">
        <v>97</v>
      </c>
      <c r="O51" s="13" t="s">
        <v>13</v>
      </c>
      <c r="P51" s="13" t="s">
        <v>14</v>
      </c>
      <c r="Q51" s="13" t="s">
        <v>15</v>
      </c>
      <c r="R51" s="11"/>
    </row>
    <row r="52" spans="2:18" x14ac:dyDescent="0.25">
      <c r="B52" s="4" t="s">
        <v>98</v>
      </c>
      <c r="C52" s="5">
        <v>974975</v>
      </c>
      <c r="D52" s="5">
        <v>974976</v>
      </c>
      <c r="E52" s="7">
        <v>-1</v>
      </c>
      <c r="F52" s="5">
        <v>1459127</v>
      </c>
      <c r="G52" s="5">
        <v>1459126</v>
      </c>
      <c r="H52" s="5">
        <v>1</v>
      </c>
      <c r="L52" s="11"/>
      <c r="M52" s="14" t="s">
        <v>76</v>
      </c>
      <c r="N52" s="14">
        <v>0</v>
      </c>
      <c r="O52" s="14">
        <v>16813</v>
      </c>
      <c r="P52" s="14">
        <v>3187</v>
      </c>
      <c r="Q52" s="14">
        <v>0</v>
      </c>
      <c r="R52" s="11"/>
    </row>
    <row r="53" spans="2:18" x14ac:dyDescent="0.25">
      <c r="B53" s="4" t="s">
        <v>99</v>
      </c>
      <c r="C53" s="5">
        <v>45378</v>
      </c>
      <c r="D53" s="5">
        <v>45378</v>
      </c>
      <c r="E53" s="5">
        <v>0</v>
      </c>
      <c r="F53" s="5">
        <v>0</v>
      </c>
      <c r="G53" s="5">
        <v>0</v>
      </c>
      <c r="H53" s="5">
        <v>0</v>
      </c>
      <c r="L53" s="11"/>
      <c r="M53" s="14" t="s">
        <v>98</v>
      </c>
      <c r="N53" s="14">
        <v>0</v>
      </c>
      <c r="O53" s="14">
        <v>860230</v>
      </c>
      <c r="P53" s="14">
        <v>1459127</v>
      </c>
      <c r="Q53" s="14">
        <v>580643</v>
      </c>
      <c r="R53" s="11"/>
    </row>
    <row r="54" spans="2:18" x14ac:dyDescent="0.25">
      <c r="B54" s="3" t="s">
        <v>4</v>
      </c>
      <c r="C54" s="6">
        <v>6328005</v>
      </c>
      <c r="D54" s="6">
        <v>6317425</v>
      </c>
      <c r="E54" s="6">
        <v>10579</v>
      </c>
      <c r="F54" s="6">
        <v>3576864</v>
      </c>
      <c r="G54" s="6">
        <v>3551898</v>
      </c>
      <c r="H54" s="6">
        <v>24966</v>
      </c>
      <c r="L54" s="11"/>
      <c r="M54" s="13" t="s">
        <v>4</v>
      </c>
      <c r="N54" s="13">
        <v>0</v>
      </c>
      <c r="O54" s="13">
        <v>877043</v>
      </c>
      <c r="P54" s="13">
        <v>1462314</v>
      </c>
      <c r="Q54" s="13">
        <v>580643</v>
      </c>
      <c r="R54" s="11"/>
    </row>
    <row r="55" spans="2:18" x14ac:dyDescent="0.25">
      <c r="B55" s="11"/>
      <c r="C55" s="11"/>
      <c r="D55" s="11"/>
      <c r="E55" s="11"/>
      <c r="F55" s="11"/>
      <c r="G55" s="11"/>
      <c r="H55" s="11"/>
      <c r="L55" s="11"/>
      <c r="M55" s="11"/>
      <c r="N55" s="11"/>
      <c r="O55" s="11"/>
      <c r="P55" s="11"/>
      <c r="Q55" s="11"/>
      <c r="R55" s="11"/>
    </row>
    <row r="56" spans="2:18" x14ac:dyDescent="0.25">
      <c r="L56" s="11"/>
      <c r="M56" s="11"/>
      <c r="N56" s="11"/>
      <c r="O56" s="11"/>
      <c r="P56" s="11"/>
      <c r="Q56" s="11"/>
      <c r="R56" s="11"/>
    </row>
    <row r="57" spans="2:18" x14ac:dyDescent="0.25">
      <c r="L57" s="11"/>
      <c r="M57" s="11"/>
      <c r="N57" s="11"/>
      <c r="O57" s="11"/>
      <c r="P57" s="11"/>
      <c r="Q57" s="11"/>
      <c r="R57" s="11"/>
    </row>
    <row r="58" spans="2:18" x14ac:dyDescent="0.25">
      <c r="L58" s="11"/>
      <c r="M58" s="11"/>
      <c r="N58" s="11"/>
      <c r="O58" s="11"/>
      <c r="P58" s="11"/>
      <c r="Q58" s="11"/>
      <c r="R58" s="11"/>
    </row>
    <row r="59" spans="2:18" x14ac:dyDescent="0.25">
      <c r="L59" s="11"/>
      <c r="M59" s="11"/>
      <c r="N59" s="11"/>
      <c r="O59" s="11"/>
      <c r="P59" s="11"/>
      <c r="Q59" s="11"/>
      <c r="R59" s="11"/>
    </row>
    <row r="60" spans="2:18" x14ac:dyDescent="0.25">
      <c r="L60" s="11"/>
      <c r="M60" s="11"/>
      <c r="N60" s="11"/>
      <c r="O60" s="11"/>
      <c r="P60" s="11"/>
      <c r="Q60" s="11"/>
      <c r="R60" s="11"/>
    </row>
    <row r="61" spans="2:18" x14ac:dyDescent="0.25">
      <c r="L61" s="11"/>
      <c r="M61" s="11"/>
      <c r="N61" s="11"/>
      <c r="O61" s="11"/>
      <c r="P61" s="11"/>
      <c r="Q61" s="11"/>
      <c r="R61" s="11"/>
    </row>
    <row r="62" spans="2:18" x14ac:dyDescent="0.25">
      <c r="L62" s="11"/>
      <c r="M62" s="11"/>
      <c r="N62" s="11"/>
      <c r="O62" s="11"/>
      <c r="P62" s="11"/>
      <c r="Q62" s="11"/>
      <c r="R62" s="11"/>
    </row>
    <row r="63" spans="2:18" x14ac:dyDescent="0.25">
      <c r="L63" s="11"/>
      <c r="M63" s="11"/>
      <c r="N63" s="11"/>
      <c r="O63" s="11"/>
      <c r="P63" s="11"/>
      <c r="Q63" s="11"/>
      <c r="R63" s="11"/>
    </row>
    <row r="64" spans="2:18" x14ac:dyDescent="0.25">
      <c r="L64" s="11"/>
      <c r="M64" s="11"/>
      <c r="N64" s="11"/>
      <c r="O64" s="11"/>
      <c r="P64" s="11"/>
      <c r="Q64" s="11"/>
      <c r="R64" s="11"/>
    </row>
    <row r="65" spans="12:18" x14ac:dyDescent="0.25">
      <c r="L65" s="11"/>
      <c r="M65" s="11"/>
      <c r="N65" s="11"/>
      <c r="O65" s="11"/>
      <c r="P65" s="11"/>
      <c r="Q65" s="11"/>
      <c r="R65" s="11"/>
    </row>
    <row r="66" spans="12:18" x14ac:dyDescent="0.25">
      <c r="L66" s="11"/>
      <c r="M66" s="11"/>
      <c r="N66" s="11"/>
      <c r="O66" s="11"/>
      <c r="P66" s="11"/>
      <c r="Q66" s="11"/>
      <c r="R66" s="11"/>
    </row>
    <row r="67" spans="12:18" x14ac:dyDescent="0.25">
      <c r="L67" s="11"/>
      <c r="M67" s="11"/>
      <c r="N67" s="11"/>
      <c r="O67" s="11"/>
      <c r="P67" s="11"/>
      <c r="Q67" s="11"/>
      <c r="R67" s="11"/>
    </row>
    <row r="68" spans="12:18" x14ac:dyDescent="0.25">
      <c r="L68" s="11"/>
      <c r="M68" s="11"/>
      <c r="N68" s="11"/>
      <c r="O68" s="11"/>
      <c r="P68" s="11"/>
      <c r="Q68" s="11"/>
      <c r="R68" s="11"/>
    </row>
    <row r="69" spans="12:18" x14ac:dyDescent="0.25">
      <c r="L69" s="11"/>
      <c r="M69" s="11"/>
      <c r="N69" s="11"/>
      <c r="O69" s="11"/>
      <c r="P69" s="11"/>
      <c r="Q69" s="11"/>
      <c r="R69" s="11"/>
    </row>
    <row r="70" spans="12:18" x14ac:dyDescent="0.25">
      <c r="L70" s="11"/>
      <c r="M70" s="11"/>
      <c r="N70" s="11"/>
      <c r="O70" s="11"/>
      <c r="P70" s="11"/>
      <c r="Q70" s="11"/>
      <c r="R70" s="11"/>
    </row>
    <row r="71" spans="12:18" x14ac:dyDescent="0.25">
      <c r="L71" s="11"/>
      <c r="M71" s="11"/>
      <c r="N71" s="11"/>
      <c r="O71" s="11"/>
      <c r="P71" s="11"/>
      <c r="Q71" s="11"/>
      <c r="R71" s="11"/>
    </row>
    <row r="72" spans="12:18" x14ac:dyDescent="0.25">
      <c r="L72" s="11"/>
      <c r="M72" s="11"/>
      <c r="N72" s="11"/>
      <c r="O72" s="11"/>
      <c r="P72" s="11"/>
      <c r="Q72" s="11"/>
      <c r="R72" s="11"/>
    </row>
  </sheetData>
  <mergeCells count="10">
    <mergeCell ref="A13:B13"/>
    <mergeCell ref="C13:D13"/>
    <mergeCell ref="E13:F13"/>
    <mergeCell ref="G13:H13"/>
    <mergeCell ref="I13:J13"/>
    <mergeCell ref="A1:J1"/>
    <mergeCell ref="A3:A4"/>
    <mergeCell ref="B3:B4"/>
    <mergeCell ref="C3:F3"/>
    <mergeCell ref="G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5" x14ac:dyDescent="0.25"/>
  <sheetData>
    <row r="1" spans="1:10" x14ac:dyDescent="0.25">
      <c r="A1" s="2" t="s">
        <v>3</v>
      </c>
      <c r="B1" s="2" t="s">
        <v>4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s="4" t="s">
        <v>18</v>
      </c>
      <c r="B2" s="4" t="s">
        <v>19</v>
      </c>
      <c r="C2" s="7">
        <v>-192</v>
      </c>
      <c r="D2" s="5">
        <v>66</v>
      </c>
      <c r="E2" s="5">
        <v>257</v>
      </c>
      <c r="F2" s="5">
        <v>172</v>
      </c>
      <c r="G2" s="5">
        <v>62</v>
      </c>
      <c r="H2" s="5">
        <v>387</v>
      </c>
      <c r="I2" s="5">
        <v>403</v>
      </c>
      <c r="J2" s="5">
        <v>338</v>
      </c>
    </row>
    <row r="3" spans="1:10" x14ac:dyDescent="0.25">
      <c r="A3" s="4" t="s">
        <v>22</v>
      </c>
      <c r="B3" s="4" t="s">
        <v>19</v>
      </c>
      <c r="C3" s="7">
        <v>-10</v>
      </c>
      <c r="D3" s="5">
        <v>78</v>
      </c>
      <c r="E3" s="5">
        <v>59</v>
      </c>
      <c r="F3" s="5">
        <v>4</v>
      </c>
      <c r="G3" s="5">
        <v>1</v>
      </c>
      <c r="H3" s="5">
        <v>68</v>
      </c>
      <c r="I3" s="5">
        <v>86</v>
      </c>
      <c r="J3" s="5">
        <v>74</v>
      </c>
    </row>
    <row r="4" spans="1:10" x14ac:dyDescent="0.25">
      <c r="A4" s="4" t="s">
        <v>24</v>
      </c>
      <c r="B4" s="4" t="s">
        <v>19</v>
      </c>
      <c r="C4" s="7">
        <v>-72</v>
      </c>
      <c r="D4" s="7">
        <v>-66</v>
      </c>
      <c r="E4" s="5">
        <v>86</v>
      </c>
      <c r="F4" s="5">
        <v>97</v>
      </c>
      <c r="G4" s="5">
        <v>22</v>
      </c>
      <c r="H4" s="5">
        <v>262</v>
      </c>
      <c r="I4" s="5">
        <v>336</v>
      </c>
      <c r="J4" s="5">
        <v>297</v>
      </c>
    </row>
    <row r="5" spans="1:10" x14ac:dyDescent="0.25">
      <c r="A5" s="4" t="s">
        <v>25</v>
      </c>
      <c r="B5" s="4" t="s">
        <v>19</v>
      </c>
      <c r="C5" s="7">
        <v>-34</v>
      </c>
      <c r="D5" s="7">
        <v>-195</v>
      </c>
      <c r="E5" s="7">
        <v>-153</v>
      </c>
      <c r="F5" s="7">
        <v>-42</v>
      </c>
      <c r="G5" s="7">
        <v>-25</v>
      </c>
      <c r="H5" s="7">
        <v>-178</v>
      </c>
      <c r="I5" s="7">
        <v>-146</v>
      </c>
      <c r="J5" s="7">
        <v>-84</v>
      </c>
    </row>
    <row r="6" spans="1:10" x14ac:dyDescent="0.25">
      <c r="A6" s="4" t="s">
        <v>20</v>
      </c>
      <c r="B6" s="4" t="s">
        <v>19</v>
      </c>
      <c r="C6" s="7">
        <v>-13</v>
      </c>
      <c r="D6" s="5">
        <v>44</v>
      </c>
      <c r="E6" s="5">
        <v>286</v>
      </c>
      <c r="F6" s="5">
        <v>147</v>
      </c>
      <c r="G6" s="5">
        <v>48</v>
      </c>
      <c r="H6" s="5">
        <v>307</v>
      </c>
      <c r="I6" s="5">
        <v>351</v>
      </c>
      <c r="J6" s="5">
        <v>314</v>
      </c>
    </row>
    <row r="7" spans="1:10" x14ac:dyDescent="0.25">
      <c r="A7" s="4" t="s">
        <v>28</v>
      </c>
      <c r="B7" s="4" t="s">
        <v>19</v>
      </c>
      <c r="C7" s="7">
        <v>-97</v>
      </c>
      <c r="D7" s="5">
        <v>348</v>
      </c>
      <c r="E7" s="5">
        <v>286</v>
      </c>
      <c r="F7" s="5">
        <v>107</v>
      </c>
      <c r="G7" s="5">
        <v>45</v>
      </c>
      <c r="H7" s="5">
        <v>359</v>
      </c>
      <c r="I7" s="5">
        <v>541</v>
      </c>
      <c r="J7" s="5">
        <v>510</v>
      </c>
    </row>
    <row r="8" spans="1:10" x14ac:dyDescent="0.25">
      <c r="A8" s="4" t="s">
        <v>26</v>
      </c>
      <c r="B8" s="4" t="s">
        <v>19</v>
      </c>
      <c r="C8" s="5">
        <v>159</v>
      </c>
      <c r="D8" s="5">
        <v>176</v>
      </c>
      <c r="E8" s="5">
        <v>232</v>
      </c>
      <c r="F8" s="5">
        <v>119</v>
      </c>
      <c r="G8" s="5">
        <v>40</v>
      </c>
      <c r="H8" s="5">
        <v>238</v>
      </c>
      <c r="I8" s="5">
        <v>238</v>
      </c>
      <c r="J8" s="5">
        <v>198</v>
      </c>
    </row>
    <row r="9" spans="1:10" x14ac:dyDescent="0.25">
      <c r="A9" s="3" t="s">
        <v>4</v>
      </c>
      <c r="B9" s="3" t="s">
        <v>19</v>
      </c>
      <c r="C9" s="10">
        <v>-260</v>
      </c>
      <c r="D9" s="6">
        <v>451</v>
      </c>
      <c r="E9" s="6">
        <v>1054</v>
      </c>
      <c r="F9" s="6">
        <v>604</v>
      </c>
      <c r="G9" s="6">
        <v>193</v>
      </c>
      <c r="H9" s="6">
        <v>1442</v>
      </c>
      <c r="I9" s="6">
        <v>1810</v>
      </c>
      <c r="J9" s="6">
        <v>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5" x14ac:dyDescent="0.25"/>
  <sheetData>
    <row r="1" spans="1:7" x14ac:dyDescent="0.25">
      <c r="A1" s="2" t="s">
        <v>59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5">
      <c r="A2" s="4" t="s">
        <v>61</v>
      </c>
      <c r="B2" s="5">
        <v>1182705</v>
      </c>
      <c r="C2" s="5">
        <v>1178582</v>
      </c>
      <c r="D2" s="5">
        <v>4123</v>
      </c>
      <c r="E2" s="5">
        <v>1358234</v>
      </c>
      <c r="F2" s="5">
        <v>1337179</v>
      </c>
      <c r="G2" s="5">
        <v>21055</v>
      </c>
    </row>
    <row r="3" spans="1:7" x14ac:dyDescent="0.25">
      <c r="A3" s="4" t="s">
        <v>62</v>
      </c>
      <c r="B3" s="5">
        <v>149396</v>
      </c>
      <c r="C3" s="5">
        <v>149395</v>
      </c>
      <c r="D3" s="5">
        <v>1</v>
      </c>
      <c r="E3" s="5">
        <v>20399</v>
      </c>
      <c r="F3" s="5">
        <v>20399</v>
      </c>
      <c r="G3" s="5">
        <v>0</v>
      </c>
    </row>
    <row r="4" spans="1:7" x14ac:dyDescent="0.25">
      <c r="A4" s="4" t="s">
        <v>64</v>
      </c>
      <c r="B4" s="5">
        <v>26134</v>
      </c>
      <c r="C4" s="5">
        <v>26134</v>
      </c>
      <c r="D4" s="5">
        <v>0</v>
      </c>
      <c r="E4" s="5">
        <v>22486</v>
      </c>
      <c r="F4" s="5">
        <v>22486</v>
      </c>
      <c r="G4" s="5">
        <v>0</v>
      </c>
    </row>
    <row r="5" spans="1:7" x14ac:dyDescent="0.25">
      <c r="A5" s="4" t="s">
        <v>66</v>
      </c>
      <c r="B5" s="5">
        <v>590403</v>
      </c>
      <c r="C5" s="5">
        <v>589142</v>
      </c>
      <c r="D5" s="5">
        <v>1261</v>
      </c>
      <c r="E5" s="5">
        <v>3274</v>
      </c>
      <c r="F5" s="5">
        <v>3274</v>
      </c>
      <c r="G5" s="5">
        <v>0</v>
      </c>
    </row>
    <row r="6" spans="1:7" x14ac:dyDescent="0.25">
      <c r="A6" s="4" t="s">
        <v>68</v>
      </c>
      <c r="B6" s="5">
        <v>21914</v>
      </c>
      <c r="C6" s="5">
        <v>21914</v>
      </c>
      <c r="D6" s="5">
        <v>0</v>
      </c>
      <c r="E6" s="5">
        <v>0</v>
      </c>
      <c r="F6" s="5">
        <v>0</v>
      </c>
      <c r="G6" s="5">
        <v>0</v>
      </c>
    </row>
    <row r="7" spans="1:7" x14ac:dyDescent="0.25">
      <c r="A7" s="4" t="s">
        <v>70</v>
      </c>
      <c r="B7" s="5">
        <v>9752</v>
      </c>
      <c r="C7" s="5">
        <v>9752</v>
      </c>
      <c r="D7" s="5">
        <v>0</v>
      </c>
      <c r="E7" s="5">
        <v>0</v>
      </c>
      <c r="F7" s="5">
        <v>0</v>
      </c>
      <c r="G7" s="5">
        <v>0</v>
      </c>
    </row>
    <row r="8" spans="1:7" x14ac:dyDescent="0.25">
      <c r="A8" s="4" t="s">
        <v>72</v>
      </c>
      <c r="B8" s="5">
        <v>16948</v>
      </c>
      <c r="C8" s="5">
        <v>16948</v>
      </c>
      <c r="D8" s="5">
        <v>0</v>
      </c>
      <c r="E8" s="5">
        <v>75279</v>
      </c>
      <c r="F8" s="5">
        <v>75279</v>
      </c>
      <c r="G8" s="5">
        <v>0</v>
      </c>
    </row>
    <row r="9" spans="1:7" x14ac:dyDescent="0.25">
      <c r="A9" s="4" t="s">
        <v>74</v>
      </c>
      <c r="B9" s="5">
        <v>78952</v>
      </c>
      <c r="C9" s="5">
        <v>78952</v>
      </c>
      <c r="D9" s="5">
        <v>0</v>
      </c>
      <c r="E9" s="5">
        <v>5586</v>
      </c>
      <c r="F9" s="5">
        <v>5586</v>
      </c>
      <c r="G9" s="5">
        <v>0</v>
      </c>
    </row>
    <row r="10" spans="1:7" x14ac:dyDescent="0.25">
      <c r="A10" s="4" t="s">
        <v>76</v>
      </c>
      <c r="B10" s="5">
        <v>1366741</v>
      </c>
      <c r="C10" s="5">
        <v>1363900</v>
      </c>
      <c r="D10" s="5">
        <v>2841</v>
      </c>
      <c r="E10" s="5">
        <v>147162</v>
      </c>
      <c r="F10" s="5">
        <v>147162</v>
      </c>
      <c r="G10" s="5">
        <v>0</v>
      </c>
    </row>
    <row r="11" spans="1:7" x14ac:dyDescent="0.25">
      <c r="A11" s="4" t="s">
        <v>78</v>
      </c>
      <c r="B11" s="5">
        <v>40219</v>
      </c>
      <c r="C11" s="5">
        <v>40219</v>
      </c>
      <c r="D11" s="5">
        <v>0</v>
      </c>
      <c r="E11" s="5">
        <v>20068</v>
      </c>
      <c r="F11" s="5">
        <v>20068</v>
      </c>
      <c r="G11" s="5">
        <v>0</v>
      </c>
    </row>
    <row r="12" spans="1:7" x14ac:dyDescent="0.25">
      <c r="A12" s="4" t="s">
        <v>79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x14ac:dyDescent="0.25">
      <c r="A13" s="4" t="s">
        <v>81</v>
      </c>
      <c r="B13" s="5">
        <v>21574</v>
      </c>
      <c r="C13" s="5">
        <v>21574</v>
      </c>
      <c r="D13" s="5">
        <v>0</v>
      </c>
      <c r="E13" s="5">
        <v>0</v>
      </c>
      <c r="F13" s="5">
        <v>0</v>
      </c>
      <c r="G13" s="5">
        <v>0</v>
      </c>
    </row>
    <row r="14" spans="1:7" x14ac:dyDescent="0.25">
      <c r="A14" s="4" t="s">
        <v>83</v>
      </c>
      <c r="B14" s="5">
        <v>48477</v>
      </c>
      <c r="C14" s="5">
        <v>48477</v>
      </c>
      <c r="D14" s="5">
        <v>0</v>
      </c>
      <c r="E14" s="5">
        <v>0</v>
      </c>
      <c r="F14" s="5">
        <v>0</v>
      </c>
      <c r="G14" s="5">
        <v>0</v>
      </c>
    </row>
    <row r="15" spans="1:7" x14ac:dyDescent="0.25">
      <c r="A15" s="4" t="s">
        <v>85</v>
      </c>
      <c r="B15" s="5">
        <v>11889</v>
      </c>
      <c r="C15" s="5">
        <v>11889</v>
      </c>
      <c r="D15" s="5">
        <v>0</v>
      </c>
      <c r="E15" s="5">
        <v>13223</v>
      </c>
      <c r="F15" s="5">
        <v>13223</v>
      </c>
      <c r="G15" s="5">
        <v>0</v>
      </c>
    </row>
    <row r="16" spans="1:7" x14ac:dyDescent="0.25">
      <c r="A16" s="4" t="s">
        <v>87</v>
      </c>
      <c r="B16" s="5">
        <v>52301</v>
      </c>
      <c r="C16" s="5">
        <v>52301</v>
      </c>
      <c r="D16" s="5">
        <v>0</v>
      </c>
      <c r="E16" s="5">
        <v>4417</v>
      </c>
      <c r="F16" s="5">
        <v>197</v>
      </c>
      <c r="G16" s="5">
        <v>4220</v>
      </c>
    </row>
    <row r="17" spans="1:7" x14ac:dyDescent="0.25">
      <c r="A17" s="4" t="s">
        <v>89</v>
      </c>
      <c r="B17" s="5">
        <v>236223</v>
      </c>
      <c r="C17" s="5">
        <v>236223</v>
      </c>
      <c r="D17" s="5">
        <v>0</v>
      </c>
      <c r="E17" s="5">
        <v>58853</v>
      </c>
      <c r="F17" s="5">
        <v>58853</v>
      </c>
      <c r="G17" s="5">
        <v>0</v>
      </c>
    </row>
    <row r="18" spans="1:7" x14ac:dyDescent="0.25">
      <c r="A18" s="4" t="s">
        <v>90</v>
      </c>
      <c r="B18" s="5">
        <v>87801</v>
      </c>
      <c r="C18" s="5">
        <v>87801</v>
      </c>
      <c r="D18" s="5">
        <v>0</v>
      </c>
      <c r="E18" s="5">
        <v>11682</v>
      </c>
      <c r="F18" s="5">
        <v>11682</v>
      </c>
      <c r="G18" s="5">
        <v>0</v>
      </c>
    </row>
    <row r="19" spans="1:7" x14ac:dyDescent="0.25">
      <c r="A19" s="4" t="s">
        <v>91</v>
      </c>
      <c r="B19" s="5">
        <v>135000</v>
      </c>
      <c r="C19" s="5">
        <v>135000</v>
      </c>
      <c r="D19" s="5">
        <v>0</v>
      </c>
      <c r="E19" s="5">
        <v>0</v>
      </c>
      <c r="F19" s="5">
        <v>0</v>
      </c>
      <c r="G19" s="5">
        <v>0</v>
      </c>
    </row>
    <row r="20" spans="1:7" x14ac:dyDescent="0.25">
      <c r="A20" s="4" t="s">
        <v>92</v>
      </c>
      <c r="B20" s="5">
        <v>1045440</v>
      </c>
      <c r="C20" s="5">
        <v>1045439</v>
      </c>
      <c r="D20" s="5">
        <v>1</v>
      </c>
      <c r="E20" s="5">
        <v>377073</v>
      </c>
      <c r="F20" s="5">
        <v>377073</v>
      </c>
      <c r="G20" s="5">
        <v>0</v>
      </c>
    </row>
    <row r="21" spans="1:7" x14ac:dyDescent="0.25">
      <c r="A21" s="4" t="s">
        <v>93</v>
      </c>
      <c r="B21" s="5">
        <v>169246</v>
      </c>
      <c r="C21" s="5">
        <v>168884</v>
      </c>
      <c r="D21" s="5">
        <v>362</v>
      </c>
      <c r="E21" s="5">
        <v>0</v>
      </c>
      <c r="F21" s="5">
        <v>310</v>
      </c>
      <c r="G21" s="7">
        <v>-310</v>
      </c>
    </row>
    <row r="22" spans="1:7" x14ac:dyDescent="0.25">
      <c r="A22" s="4" t="s">
        <v>95</v>
      </c>
      <c r="B22" s="5">
        <v>16536</v>
      </c>
      <c r="C22" s="5">
        <v>14545</v>
      </c>
      <c r="D22" s="5">
        <v>1991</v>
      </c>
      <c r="E22" s="5">
        <v>0</v>
      </c>
      <c r="F22" s="5">
        <v>0</v>
      </c>
      <c r="G22" s="5">
        <v>0</v>
      </c>
    </row>
    <row r="23" spans="1:7" x14ac:dyDescent="0.25">
      <c r="A23" s="4" t="s">
        <v>98</v>
      </c>
      <c r="B23" s="5">
        <v>974975</v>
      </c>
      <c r="C23" s="5">
        <v>974976</v>
      </c>
      <c r="D23" s="7">
        <v>-1</v>
      </c>
      <c r="E23" s="5">
        <v>1459127</v>
      </c>
      <c r="F23" s="5">
        <v>1459126</v>
      </c>
      <c r="G23" s="5">
        <v>1</v>
      </c>
    </row>
    <row r="24" spans="1:7" x14ac:dyDescent="0.25">
      <c r="A24" s="4" t="s">
        <v>99</v>
      </c>
      <c r="B24" s="5">
        <v>45378</v>
      </c>
      <c r="C24" s="5">
        <v>45378</v>
      </c>
      <c r="D24" s="5">
        <v>0</v>
      </c>
      <c r="E24" s="5">
        <v>0</v>
      </c>
      <c r="F24" s="5">
        <v>0</v>
      </c>
      <c r="G24" s="5">
        <v>0</v>
      </c>
    </row>
    <row r="25" spans="1:7" x14ac:dyDescent="0.25">
      <c r="A25" s="3" t="s">
        <v>4</v>
      </c>
      <c r="B25" s="6">
        <v>6328005</v>
      </c>
      <c r="C25" s="6">
        <v>6317425</v>
      </c>
      <c r="D25" s="6">
        <v>10579</v>
      </c>
      <c r="E25" s="6">
        <v>3576864</v>
      </c>
      <c r="F25" s="6">
        <v>3551898</v>
      </c>
      <c r="G25" s="6">
        <v>24966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5" x14ac:dyDescent="0.25"/>
  <sheetData>
    <row r="1" spans="1:7" x14ac:dyDescent="0.25">
      <c r="A1" s="2" t="s">
        <v>96</v>
      </c>
      <c r="B1" s="2" t="s">
        <v>97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s="4" t="s">
        <v>76</v>
      </c>
      <c r="B2" s="5">
        <v>0</v>
      </c>
      <c r="C2" s="5">
        <v>16813</v>
      </c>
      <c r="D2" s="5">
        <v>3187</v>
      </c>
      <c r="E2" s="5">
        <v>0</v>
      </c>
      <c r="F2" s="4"/>
      <c r="G2" s="4"/>
    </row>
    <row r="3" spans="1:7" x14ac:dyDescent="0.25">
      <c r="A3" s="4" t="s">
        <v>98</v>
      </c>
      <c r="B3" s="5">
        <v>0</v>
      </c>
      <c r="C3" s="5">
        <v>860230</v>
      </c>
      <c r="D3" s="5">
        <v>1459127</v>
      </c>
      <c r="E3" s="5">
        <v>580643</v>
      </c>
      <c r="F3" s="4"/>
      <c r="G3" s="4"/>
    </row>
    <row r="4" spans="1:7" x14ac:dyDescent="0.25">
      <c r="A4" s="3" t="s">
        <v>4</v>
      </c>
      <c r="B4" s="6">
        <v>0</v>
      </c>
      <c r="C4" s="6">
        <v>877043</v>
      </c>
      <c r="D4" s="6">
        <v>1462314</v>
      </c>
      <c r="E4" s="6">
        <v>580643</v>
      </c>
      <c r="F4" s="3"/>
      <c r="G4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workbookViewId="0"/>
  </sheetViews>
  <sheetFormatPr defaultRowHeight="15" x14ac:dyDescent="0.25"/>
  <sheetData>
    <row r="1" spans="1:7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s="4" t="s">
        <v>20</v>
      </c>
      <c r="B2" s="4" t="s">
        <v>21</v>
      </c>
      <c r="C2" s="5">
        <v>235028</v>
      </c>
      <c r="D2" s="4"/>
      <c r="E2" s="4"/>
      <c r="F2" s="4"/>
      <c r="G2" s="4"/>
    </row>
    <row r="3" spans="1:7" x14ac:dyDescent="0.25">
      <c r="A3" s="4" t="s">
        <v>20</v>
      </c>
      <c r="B3" s="4" t="s">
        <v>23</v>
      </c>
      <c r="C3" s="5">
        <v>615552</v>
      </c>
      <c r="D3" s="5">
        <v>143975</v>
      </c>
      <c r="E3" s="5">
        <v>97272</v>
      </c>
      <c r="F3" s="5">
        <v>72378</v>
      </c>
      <c r="G3" s="5">
        <v>34492</v>
      </c>
    </row>
    <row r="4" spans="1:7" x14ac:dyDescent="0.25">
      <c r="A4" s="3" t="s">
        <v>20</v>
      </c>
      <c r="B4" s="3" t="s">
        <v>4</v>
      </c>
      <c r="C4" s="6">
        <v>850580</v>
      </c>
      <c r="D4" s="6">
        <v>143975</v>
      </c>
      <c r="E4" s="6">
        <v>97272</v>
      </c>
      <c r="F4" s="6">
        <v>72378</v>
      </c>
      <c r="G4" s="6">
        <v>34492</v>
      </c>
    </row>
    <row r="5" spans="1:7" x14ac:dyDescent="0.25">
      <c r="A5" s="4" t="s">
        <v>26</v>
      </c>
      <c r="B5" s="4" t="s">
        <v>27</v>
      </c>
      <c r="C5" s="5">
        <v>123733</v>
      </c>
      <c r="D5" s="4"/>
      <c r="E5" s="4"/>
      <c r="F5" s="4"/>
      <c r="G5" s="4"/>
    </row>
    <row r="6" spans="1:7" x14ac:dyDescent="0.25">
      <c r="A6" s="4" t="s">
        <v>26</v>
      </c>
      <c r="B6" s="4" t="s">
        <v>27</v>
      </c>
      <c r="C6" s="5">
        <v>123733</v>
      </c>
      <c r="D6" s="4"/>
      <c r="E6" s="4"/>
      <c r="F6" s="4"/>
      <c r="G6" s="4"/>
    </row>
    <row r="7" spans="1:7" x14ac:dyDescent="0.25">
      <c r="A7" s="4" t="s">
        <v>18</v>
      </c>
      <c r="B7" s="4" t="s">
        <v>29</v>
      </c>
      <c r="C7" s="5">
        <v>225096</v>
      </c>
      <c r="D7" s="5">
        <v>3274</v>
      </c>
      <c r="E7" s="4"/>
      <c r="F7" s="4"/>
      <c r="G7" s="4"/>
    </row>
    <row r="8" spans="1:7" x14ac:dyDescent="0.25">
      <c r="A8" s="4" t="s">
        <v>18</v>
      </c>
      <c r="B8" s="4" t="s">
        <v>30</v>
      </c>
      <c r="C8" s="5">
        <v>562097</v>
      </c>
      <c r="D8" s="5">
        <v>3187</v>
      </c>
      <c r="E8" s="4"/>
      <c r="F8" s="4"/>
      <c r="G8" s="4"/>
    </row>
    <row r="9" spans="1:7" x14ac:dyDescent="0.25">
      <c r="A9" s="4" t="s">
        <v>18</v>
      </c>
      <c r="B9" s="4" t="s">
        <v>31</v>
      </c>
      <c r="C9" s="5">
        <v>45378</v>
      </c>
      <c r="D9" s="4"/>
      <c r="E9" s="4"/>
      <c r="F9" s="4"/>
      <c r="G9" s="4"/>
    </row>
    <row r="10" spans="1:7" x14ac:dyDescent="0.25">
      <c r="A10" s="3" t="s">
        <v>18</v>
      </c>
      <c r="B10" s="3" t="s">
        <v>4</v>
      </c>
      <c r="C10" s="6">
        <v>832571</v>
      </c>
      <c r="D10" s="6">
        <v>6462</v>
      </c>
      <c r="E10" s="3"/>
      <c r="F10" s="3"/>
      <c r="G10" s="3"/>
    </row>
    <row r="11" spans="1:7" x14ac:dyDescent="0.25">
      <c r="A11" s="4" t="s">
        <v>22</v>
      </c>
      <c r="B11" s="4" t="s">
        <v>32</v>
      </c>
      <c r="C11" s="5">
        <v>719225</v>
      </c>
      <c r="D11" s="5">
        <v>939621</v>
      </c>
      <c r="E11" s="5">
        <v>1297981</v>
      </c>
      <c r="F11" s="5">
        <v>263343</v>
      </c>
      <c r="G11" s="4"/>
    </row>
    <row r="12" spans="1:7" x14ac:dyDescent="0.25">
      <c r="A12" s="4" t="s">
        <v>22</v>
      </c>
      <c r="B12" s="4" t="s">
        <v>33</v>
      </c>
      <c r="C12" s="5">
        <v>82504</v>
      </c>
      <c r="D12" s="5">
        <v>15241</v>
      </c>
      <c r="E12" s="5">
        <v>27351</v>
      </c>
      <c r="F12" s="4"/>
      <c r="G12" s="4"/>
    </row>
    <row r="13" spans="1:7" x14ac:dyDescent="0.25">
      <c r="A13" s="4" t="s">
        <v>22</v>
      </c>
      <c r="B13" s="4" t="s">
        <v>35</v>
      </c>
      <c r="C13" s="5">
        <v>52301</v>
      </c>
      <c r="D13" s="5">
        <v>4417</v>
      </c>
      <c r="E13" s="4"/>
      <c r="F13" s="4"/>
      <c r="G13" s="4"/>
    </row>
    <row r="14" spans="1:7" x14ac:dyDescent="0.25">
      <c r="A14" s="4" t="s">
        <v>22</v>
      </c>
      <c r="B14" s="4" t="s">
        <v>36</v>
      </c>
      <c r="C14" s="5">
        <v>135000</v>
      </c>
      <c r="D14" s="4"/>
      <c r="E14" s="4"/>
      <c r="F14" s="4"/>
      <c r="G14" s="4"/>
    </row>
    <row r="15" spans="1:7" x14ac:dyDescent="0.25">
      <c r="A15" s="3" t="s">
        <v>22</v>
      </c>
      <c r="B15" s="3" t="s">
        <v>4</v>
      </c>
      <c r="C15" s="6">
        <v>989030</v>
      </c>
      <c r="D15" s="6">
        <v>959279</v>
      </c>
      <c r="E15" s="6">
        <v>1325332</v>
      </c>
      <c r="F15" s="6">
        <v>263343</v>
      </c>
      <c r="G15" s="3"/>
    </row>
    <row r="16" spans="1:7" x14ac:dyDescent="0.25">
      <c r="A16" s="4" t="s">
        <v>24</v>
      </c>
      <c r="B16" s="4" t="s">
        <v>46</v>
      </c>
      <c r="C16" s="5">
        <v>41179</v>
      </c>
      <c r="D16" s="4"/>
      <c r="E16" s="4"/>
      <c r="F16" s="4"/>
      <c r="G16" s="4"/>
    </row>
    <row r="17" spans="1:7" x14ac:dyDescent="0.25">
      <c r="A17" s="4" t="s">
        <v>24</v>
      </c>
      <c r="B17" s="4" t="s">
        <v>47</v>
      </c>
      <c r="C17" s="5">
        <v>26134</v>
      </c>
      <c r="D17" s="5">
        <v>22486</v>
      </c>
      <c r="E17" s="5">
        <v>3133</v>
      </c>
      <c r="F17" s="4"/>
      <c r="G17" s="4"/>
    </row>
    <row r="18" spans="1:7" x14ac:dyDescent="0.25">
      <c r="A18" s="4" t="s">
        <v>24</v>
      </c>
      <c r="B18" s="4" t="s">
        <v>48</v>
      </c>
      <c r="C18" s="5">
        <v>21914</v>
      </c>
      <c r="D18" s="4"/>
      <c r="E18" s="4"/>
      <c r="F18" s="4"/>
      <c r="G18" s="4"/>
    </row>
    <row r="19" spans="1:7" x14ac:dyDescent="0.25">
      <c r="A19" s="4" t="s">
        <v>24</v>
      </c>
      <c r="B19" s="4" t="s">
        <v>49</v>
      </c>
      <c r="C19" s="5">
        <v>9752</v>
      </c>
      <c r="D19" s="4"/>
      <c r="E19" s="4"/>
      <c r="F19" s="4"/>
      <c r="G19" s="4"/>
    </row>
    <row r="20" spans="1:7" x14ac:dyDescent="0.25">
      <c r="A20" s="4" t="s">
        <v>24</v>
      </c>
      <c r="B20" s="4" t="s">
        <v>50</v>
      </c>
      <c r="C20" s="5">
        <v>16948</v>
      </c>
      <c r="D20" s="5">
        <v>75279</v>
      </c>
      <c r="E20" s="4"/>
      <c r="F20" s="4"/>
      <c r="G20" s="4"/>
    </row>
    <row r="21" spans="1:7" x14ac:dyDescent="0.25">
      <c r="A21" s="4" t="s">
        <v>24</v>
      </c>
      <c r="B21" s="4" t="s">
        <v>51</v>
      </c>
      <c r="C21" s="5">
        <v>11042</v>
      </c>
      <c r="D21" s="4"/>
      <c r="E21" s="4"/>
      <c r="F21" s="4"/>
      <c r="G21" s="4"/>
    </row>
    <row r="22" spans="1:7" x14ac:dyDescent="0.25">
      <c r="A22" s="4" t="s">
        <v>24</v>
      </c>
      <c r="B22" s="4" t="s">
        <v>52</v>
      </c>
      <c r="C22" s="5">
        <v>40219</v>
      </c>
      <c r="D22" s="5">
        <v>20068</v>
      </c>
      <c r="E22" s="4"/>
      <c r="F22" s="4"/>
      <c r="G22" s="4"/>
    </row>
    <row r="23" spans="1:7" x14ac:dyDescent="0.25">
      <c r="A23" s="4" t="s">
        <v>24</v>
      </c>
      <c r="B23" s="4" t="s">
        <v>53</v>
      </c>
      <c r="C23" s="5">
        <v>48477</v>
      </c>
      <c r="D23" s="4"/>
      <c r="E23" s="4"/>
      <c r="F23" s="4"/>
      <c r="G23" s="4"/>
    </row>
    <row r="24" spans="1:7" x14ac:dyDescent="0.25">
      <c r="A24" s="4" t="s">
        <v>24</v>
      </c>
      <c r="B24" s="4" t="s">
        <v>54</v>
      </c>
      <c r="C24" s="5">
        <v>87801</v>
      </c>
      <c r="D24" s="5">
        <v>11682</v>
      </c>
      <c r="E24" s="4"/>
      <c r="F24" s="4"/>
      <c r="G24" s="4"/>
    </row>
    <row r="25" spans="1:7" x14ac:dyDescent="0.25">
      <c r="A25" s="4" t="s">
        <v>24</v>
      </c>
      <c r="B25" s="4" t="s">
        <v>55</v>
      </c>
      <c r="C25" s="5">
        <v>290128</v>
      </c>
      <c r="D25" s="5">
        <v>119067</v>
      </c>
      <c r="E25" s="4"/>
      <c r="F25" s="4"/>
      <c r="G25" s="4"/>
    </row>
    <row r="26" spans="1:7" x14ac:dyDescent="0.25">
      <c r="A26" s="4" t="s">
        <v>24</v>
      </c>
      <c r="B26" s="4" t="s">
        <v>56</v>
      </c>
      <c r="C26" s="5">
        <v>169246</v>
      </c>
      <c r="D26" s="4"/>
      <c r="E26" s="4"/>
      <c r="F26" s="4"/>
      <c r="G26" s="4"/>
    </row>
    <row r="27" spans="1:7" x14ac:dyDescent="0.25">
      <c r="A27" s="4" t="s">
        <v>24</v>
      </c>
      <c r="B27" s="4" t="s">
        <v>58</v>
      </c>
      <c r="C27" s="5">
        <v>16536</v>
      </c>
      <c r="D27" s="4"/>
      <c r="E27" s="4"/>
      <c r="F27" s="4"/>
      <c r="G27" s="4"/>
    </row>
    <row r="28" spans="1:7" x14ac:dyDescent="0.25">
      <c r="A28" s="4" t="s">
        <v>24</v>
      </c>
      <c r="B28" s="4" t="s">
        <v>60</v>
      </c>
      <c r="C28" s="5">
        <v>19779</v>
      </c>
      <c r="D28" s="4"/>
      <c r="E28" s="4"/>
      <c r="F28" s="4"/>
      <c r="G28" s="4"/>
    </row>
    <row r="29" spans="1:7" x14ac:dyDescent="0.25">
      <c r="A29" s="3" t="s">
        <v>24</v>
      </c>
      <c r="B29" s="3" t="s">
        <v>4</v>
      </c>
      <c r="C29" s="6">
        <v>799157</v>
      </c>
      <c r="D29" s="6">
        <v>248581</v>
      </c>
      <c r="E29" s="6">
        <v>3133</v>
      </c>
      <c r="F29" s="3"/>
      <c r="G29" s="3"/>
    </row>
    <row r="30" spans="1:7" x14ac:dyDescent="0.25">
      <c r="A30" s="4" t="s">
        <v>28</v>
      </c>
      <c r="B30" s="4" t="s">
        <v>63</v>
      </c>
      <c r="C30" s="5">
        <v>215227</v>
      </c>
      <c r="D30" s="5">
        <v>275072</v>
      </c>
      <c r="E30" s="5">
        <v>174281</v>
      </c>
      <c r="F30" s="5">
        <v>54103</v>
      </c>
      <c r="G30" s="4"/>
    </row>
    <row r="31" spans="1:7" x14ac:dyDescent="0.25">
      <c r="A31" s="4" t="s">
        <v>28</v>
      </c>
      <c r="B31" s="4" t="s">
        <v>65</v>
      </c>
      <c r="C31" s="5">
        <v>66893</v>
      </c>
      <c r="D31" s="5">
        <v>5158</v>
      </c>
      <c r="E31" s="5">
        <v>30629</v>
      </c>
      <c r="F31" s="4"/>
      <c r="G31" s="4"/>
    </row>
    <row r="32" spans="1:7" x14ac:dyDescent="0.25">
      <c r="A32" s="4" t="s">
        <v>28</v>
      </c>
      <c r="B32" s="4" t="s">
        <v>67</v>
      </c>
      <c r="C32" s="5">
        <v>130279</v>
      </c>
      <c r="D32" s="4"/>
      <c r="E32" s="4"/>
      <c r="F32" s="4"/>
      <c r="G32" s="4"/>
    </row>
    <row r="33" spans="1:7" x14ac:dyDescent="0.25">
      <c r="A33" s="4" t="s">
        <v>28</v>
      </c>
      <c r="B33" s="4" t="s">
        <v>69</v>
      </c>
      <c r="C33" s="5">
        <v>78952</v>
      </c>
      <c r="D33" s="5">
        <v>5586</v>
      </c>
      <c r="E33" s="4"/>
      <c r="F33" s="4"/>
      <c r="G33" s="4"/>
    </row>
    <row r="34" spans="1:7" x14ac:dyDescent="0.25">
      <c r="A34" s="4" t="s">
        <v>28</v>
      </c>
      <c r="B34" s="4" t="s">
        <v>71</v>
      </c>
      <c r="C34" s="5">
        <v>54316</v>
      </c>
      <c r="D34" s="4"/>
      <c r="E34" s="4"/>
      <c r="F34" s="4"/>
      <c r="G34" s="4"/>
    </row>
    <row r="35" spans="1:7" x14ac:dyDescent="0.25">
      <c r="A35" s="4" t="s">
        <v>28</v>
      </c>
      <c r="B35" s="4" t="s">
        <v>73</v>
      </c>
      <c r="C35" s="5">
        <v>11889</v>
      </c>
      <c r="D35" s="5">
        <v>13223</v>
      </c>
      <c r="E35" s="4"/>
      <c r="F35" s="4"/>
      <c r="G35" s="4"/>
    </row>
    <row r="36" spans="1:7" x14ac:dyDescent="0.25">
      <c r="A36" s="4" t="s">
        <v>28</v>
      </c>
      <c r="B36" s="4" t="s">
        <v>75</v>
      </c>
      <c r="C36" s="5">
        <v>206788</v>
      </c>
      <c r="D36" s="5">
        <v>30148</v>
      </c>
      <c r="E36" s="4"/>
      <c r="F36" s="4"/>
      <c r="G36" s="4"/>
    </row>
    <row r="37" spans="1:7" x14ac:dyDescent="0.25">
      <c r="A37" s="4" t="s">
        <v>28</v>
      </c>
      <c r="B37" s="4" t="s">
        <v>77</v>
      </c>
      <c r="C37" s="5">
        <v>448835</v>
      </c>
      <c r="D37" s="5">
        <v>143115</v>
      </c>
      <c r="E37" s="5">
        <v>8745</v>
      </c>
      <c r="F37" s="4"/>
      <c r="G37" s="4"/>
    </row>
    <row r="38" spans="1:7" x14ac:dyDescent="0.25">
      <c r="A38" s="3" t="s">
        <v>28</v>
      </c>
      <c r="B38" s="3" t="s">
        <v>4</v>
      </c>
      <c r="C38" s="6">
        <v>1213179</v>
      </c>
      <c r="D38" s="6">
        <v>472302</v>
      </c>
      <c r="E38" s="6">
        <v>213655</v>
      </c>
      <c r="F38" s="6">
        <v>54103</v>
      </c>
      <c r="G38" s="3"/>
    </row>
    <row r="39" spans="1:7" x14ac:dyDescent="0.25">
      <c r="A39" s="4" t="s">
        <v>25</v>
      </c>
      <c r="B39" s="4" t="s">
        <v>80</v>
      </c>
      <c r="C39" s="5">
        <v>207074</v>
      </c>
      <c r="D39" s="5">
        <v>143541</v>
      </c>
      <c r="E39" s="5">
        <v>301640</v>
      </c>
      <c r="F39" s="5">
        <v>51888</v>
      </c>
      <c r="G39" s="4"/>
    </row>
    <row r="40" spans="1:7" x14ac:dyDescent="0.25">
      <c r="A40" s="4" t="s">
        <v>25</v>
      </c>
      <c r="B40" s="4" t="s">
        <v>82</v>
      </c>
      <c r="C40" s="5">
        <v>21574</v>
      </c>
      <c r="D40" s="4"/>
      <c r="E40" s="4"/>
      <c r="F40" s="4"/>
      <c r="G40" s="4"/>
    </row>
    <row r="41" spans="1:7" x14ac:dyDescent="0.25">
      <c r="A41" s="4" t="s">
        <v>25</v>
      </c>
      <c r="B41" s="4" t="s">
        <v>84</v>
      </c>
      <c r="C41" s="5">
        <v>29435</v>
      </c>
      <c r="D41" s="5">
        <v>28705</v>
      </c>
      <c r="E41" s="4"/>
      <c r="F41" s="4"/>
      <c r="G41" s="4"/>
    </row>
    <row r="42" spans="1:7" x14ac:dyDescent="0.25">
      <c r="A42" s="4" t="s">
        <v>25</v>
      </c>
      <c r="B42" s="4" t="s">
        <v>86</v>
      </c>
      <c r="C42" s="5">
        <v>306478</v>
      </c>
      <c r="D42" s="5">
        <v>114892</v>
      </c>
      <c r="E42" s="5">
        <v>7942</v>
      </c>
      <c r="F42" s="4"/>
      <c r="G42" s="4"/>
    </row>
    <row r="43" spans="1:7" x14ac:dyDescent="0.25">
      <c r="A43" s="4" t="s">
        <v>25</v>
      </c>
      <c r="B43" s="4" t="s">
        <v>88</v>
      </c>
      <c r="C43" s="5">
        <v>955196</v>
      </c>
      <c r="D43" s="5">
        <v>1459127</v>
      </c>
      <c r="E43" s="5">
        <v>580643</v>
      </c>
      <c r="F43" s="5">
        <v>800000</v>
      </c>
      <c r="G43" s="5">
        <v>800000</v>
      </c>
    </row>
    <row r="44" spans="1:7" x14ac:dyDescent="0.25">
      <c r="A44" s="3" t="s">
        <v>25</v>
      </c>
      <c r="B44" s="3" t="s">
        <v>4</v>
      </c>
      <c r="C44" s="6">
        <v>1519756</v>
      </c>
      <c r="D44" s="6">
        <v>1746265</v>
      </c>
      <c r="E44" s="6">
        <v>890226</v>
      </c>
      <c r="F44" s="6">
        <v>851888</v>
      </c>
      <c r="G44" s="6">
        <v>800000</v>
      </c>
    </row>
    <row r="45" spans="1:7" x14ac:dyDescent="0.25">
      <c r="A45" s="3" t="s">
        <v>4</v>
      </c>
      <c r="B45" s="3" t="s">
        <v>4</v>
      </c>
      <c r="C45" s="6">
        <v>6328005</v>
      </c>
      <c r="D45" s="6">
        <v>3576864</v>
      </c>
      <c r="E45" s="6">
        <v>2529618</v>
      </c>
      <c r="F45" s="6">
        <v>1241712</v>
      </c>
      <c r="G45" s="6">
        <v>834492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5" x14ac:dyDescent="0.25"/>
  <cols>
    <col min="2" max="2" width="15" customWidth="1"/>
    <col min="3" max="4" width="13" customWidth="1"/>
  </cols>
  <sheetData>
    <row r="1" spans="1:7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7</v>
      </c>
      <c r="G1" s="2" t="s">
        <v>10</v>
      </c>
    </row>
    <row r="2" spans="1:7" x14ac:dyDescent="0.25">
      <c r="A2" s="4" t="s">
        <v>20</v>
      </c>
      <c r="B2" s="4"/>
      <c r="C2" s="5">
        <v>850580</v>
      </c>
      <c r="D2" s="5">
        <v>2118712</v>
      </c>
      <c r="E2" s="5">
        <v>143975</v>
      </c>
      <c r="F2" s="4"/>
      <c r="G2" s="7">
        <v>-1974737</v>
      </c>
    </row>
    <row r="3" spans="1:7" x14ac:dyDescent="0.25">
      <c r="A3" s="4" t="s">
        <v>18</v>
      </c>
      <c r="B3" s="4"/>
      <c r="C3" s="5">
        <v>832571</v>
      </c>
      <c r="D3" s="5">
        <v>2774987</v>
      </c>
      <c r="E3" s="5">
        <v>6462</v>
      </c>
      <c r="F3" s="4"/>
      <c r="G3" s="7">
        <v>-2768525</v>
      </c>
    </row>
    <row r="4" spans="1:7" x14ac:dyDescent="0.25">
      <c r="A4" s="4" t="s">
        <v>22</v>
      </c>
      <c r="B4" s="4"/>
      <c r="C4" s="5">
        <v>989030</v>
      </c>
      <c r="D4" s="5">
        <v>1247756</v>
      </c>
      <c r="E4" s="5">
        <v>959279</v>
      </c>
      <c r="F4" s="4"/>
      <c r="G4" s="7">
        <v>-288477</v>
      </c>
    </row>
    <row r="5" spans="1:7" x14ac:dyDescent="0.25">
      <c r="A5" s="4" t="s">
        <v>24</v>
      </c>
      <c r="B5" s="4"/>
      <c r="C5" s="5">
        <v>799157</v>
      </c>
      <c r="D5" s="5">
        <v>1667472</v>
      </c>
      <c r="E5" s="5">
        <v>248581</v>
      </c>
      <c r="F5" s="4"/>
      <c r="G5" s="7">
        <v>-1418891</v>
      </c>
    </row>
    <row r="6" spans="1:7" x14ac:dyDescent="0.25">
      <c r="A6" s="4" t="s">
        <v>28</v>
      </c>
      <c r="B6" s="4"/>
      <c r="C6" s="5">
        <v>1213179</v>
      </c>
      <c r="D6" s="5">
        <v>3174943</v>
      </c>
      <c r="E6" s="5">
        <v>472302</v>
      </c>
      <c r="F6" s="4"/>
      <c r="G6" s="7">
        <v>-2702641</v>
      </c>
    </row>
    <row r="7" spans="1:7" x14ac:dyDescent="0.25">
      <c r="A7" s="4" t="s">
        <v>25</v>
      </c>
      <c r="B7" s="4"/>
      <c r="C7" s="5">
        <v>1519756</v>
      </c>
      <c r="D7" s="5">
        <v>1639758</v>
      </c>
      <c r="E7" s="5">
        <v>1746265</v>
      </c>
      <c r="F7" s="4"/>
      <c r="G7" s="5">
        <v>106507</v>
      </c>
    </row>
    <row r="8" spans="1:7" x14ac:dyDescent="0.25">
      <c r="A8" s="4" t="s">
        <v>4</v>
      </c>
      <c r="B8" s="4"/>
      <c r="C8" s="5">
        <v>6328005</v>
      </c>
      <c r="D8" s="5">
        <v>12818959</v>
      </c>
      <c r="E8" s="5">
        <v>3576864</v>
      </c>
      <c r="F8" s="4"/>
      <c r="G8" s="7">
        <v>-9242095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Wise</vt:lpstr>
      <vt:lpstr>Weekly Blank Days</vt:lpstr>
      <vt:lpstr>Buyer Wise</vt:lpstr>
      <vt:lpstr>Provision</vt:lpstr>
      <vt:lpstr>Unit and Buyer Wise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Mahfuzur Rahman</cp:lastModifiedBy>
  <dcterms:created xsi:type="dcterms:W3CDTF">2026-02-01T11:25:43Z</dcterms:created>
  <dcterms:modified xsi:type="dcterms:W3CDTF">2026-02-01T11:31:38Z</dcterms:modified>
</cp:coreProperties>
</file>