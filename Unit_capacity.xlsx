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1. Work\1. Daily\Capacity Report\"/>
    </mc:Choice>
  </mc:AlternateContent>
  <xr:revisionPtr revIDLastSave="0" documentId="13_ncr:1_{68C6B68C-8A1A-4516-B6C2-B2DC727C8D9E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F10" i="1" s="1"/>
  <c r="H9" i="1"/>
  <c r="H10" i="1"/>
  <c r="D10" i="1"/>
  <c r="E9" i="1"/>
  <c r="E10" i="1" s="1"/>
  <c r="F2" i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E3" i="1"/>
  <c r="E4" i="1"/>
  <c r="E5" i="1"/>
  <c r="E6" i="1"/>
  <c r="E7" i="1"/>
  <c r="E8" i="1"/>
  <c r="E2" i="1"/>
  <c r="G9" i="1" l="1"/>
  <c r="G10" i="1" s="1"/>
  <c r="G8" i="1"/>
  <c r="G5" i="1"/>
  <c r="G4" i="1"/>
  <c r="G7" i="1"/>
  <c r="G3" i="1"/>
  <c r="G6" i="1"/>
  <c r="H2" i="1"/>
  <c r="G2" i="1"/>
</calcChain>
</file>

<file path=xl/sharedStrings.xml><?xml version="1.0" encoding="utf-8"?>
<sst xmlns="http://schemas.openxmlformats.org/spreadsheetml/2006/main" count="17" uniqueCount="17">
  <si>
    <t>Unit</t>
  </si>
  <si>
    <t>JAL</t>
  </si>
  <si>
    <t>JFL</t>
  </si>
  <si>
    <t>JKL</t>
  </si>
  <si>
    <t>JKL2</t>
  </si>
  <si>
    <t>FFL2</t>
  </si>
  <si>
    <t>MFL</t>
  </si>
  <si>
    <t>FFL2-LIN</t>
  </si>
  <si>
    <t>SMV</t>
  </si>
  <si>
    <t>Eff</t>
  </si>
  <si>
    <t>M/C</t>
  </si>
  <si>
    <t>Blank</t>
  </si>
  <si>
    <t>Per Day Line Prod</t>
  </si>
  <si>
    <t>Total</t>
  </si>
  <si>
    <t>GTAL</t>
  </si>
  <si>
    <t>Capacity (Monthly)</t>
  </si>
  <si>
    <t>Capacity (Daily)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</si>
</sst>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  <xf numFmtId="3" fontId="1" fillId="0" borderId="1" xfId="0" applyNumberFormat="1" applyFont="1" applyBorder="1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sqref="A1:H10"/>
    </sheetView>
  </sheetViews>
  <sheetFormatPr defaultRowHeight="15" x14ac:dyDescent="0.25"/>
  <cols>
    <col min="6" max="6" width="9.85546875" customWidth="1"/>
    <col min="7" max="7" width="10.140625" bestFit="1" customWidth="1"/>
  </cols>
  <sheetData>
    <row r="1" spans="1:8" s="6" customFormat="1" ht="30" x14ac:dyDescent="0.25">
      <c r="A1" s="5" t="s">
        <v>0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15</v>
      </c>
      <c r="H1" s="5" t="s">
        <v>16</v>
      </c>
    </row>
    <row r="2" spans="1:8" x14ac:dyDescent="0.25">
      <c r="A2" s="1" t="s">
        <v>1</v>
      </c>
      <c r="B2" s="2">
        <v>7</v>
      </c>
      <c r="C2" s="2">
        <v>0.71</v>
      </c>
      <c r="D2" s="2">
        <v>1340</v>
      </c>
      <c r="E2" s="3">
        <f>(D2/20)*26</f>
        <v>1742</v>
      </c>
      <c r="F2" s="3">
        <f>(25*C2*10*60)/(B2)</f>
        <v>1521.4285714285713</v>
      </c>
      <c r="G2" s="3">
        <f>E2*F2</f>
        <v>2650328.5714285714</v>
      </c>
      <c r="H2" s="3">
        <f>F2*(D2/20)</f>
        <v>101935.71428571428</v>
      </c>
    </row>
    <row r="3" spans="1:8" x14ac:dyDescent="0.25">
      <c r="A3" s="1" t="s">
        <v>2</v>
      </c>
      <c r="B3" s="2">
        <v>6</v>
      </c>
      <c r="C3" s="2">
        <v>0.74</v>
      </c>
      <c r="D3" s="2">
        <v>608</v>
      </c>
      <c r="E3" s="3">
        <f t="shared" ref="E3:E9" si="0">(D3/20)*26</f>
        <v>790.4</v>
      </c>
      <c r="F3" s="3">
        <f t="shared" ref="F3:F9" si="1">(25*C3*10*60)/(B3)</f>
        <v>1850</v>
      </c>
      <c r="G3" s="3">
        <f t="shared" ref="G3:G9" si="2">E3*F3</f>
        <v>1462240</v>
      </c>
      <c r="H3" s="3">
        <f>F3*(D3/20)</f>
        <v>56240</v>
      </c>
    </row>
    <row r="4" spans="1:8" x14ac:dyDescent="0.25">
      <c r="A4" s="1" t="s">
        <v>3</v>
      </c>
      <c r="B4" s="2">
        <v>8.5</v>
      </c>
      <c r="C4" s="2">
        <v>0.62</v>
      </c>
      <c r="D4" s="2">
        <v>1521</v>
      </c>
      <c r="E4" s="3">
        <f t="shared" si="0"/>
        <v>1977.3</v>
      </c>
      <c r="F4" s="3">
        <f t="shared" si="1"/>
        <v>1094.1176470588234</v>
      </c>
      <c r="G4" s="3">
        <f t="shared" si="2"/>
        <v>2163398.8235294116</v>
      </c>
      <c r="H4" s="3">
        <f>F4*(D4/20)</f>
        <v>83207.647058823524</v>
      </c>
    </row>
    <row r="5" spans="1:8" x14ac:dyDescent="0.25">
      <c r="A5" s="1" t="s">
        <v>4</v>
      </c>
      <c r="B5" s="2">
        <v>8.5</v>
      </c>
      <c r="C5" s="2">
        <v>0.68</v>
      </c>
      <c r="D5" s="2">
        <v>2160</v>
      </c>
      <c r="E5" s="3">
        <f t="shared" si="0"/>
        <v>2808</v>
      </c>
      <c r="F5" s="3">
        <f t="shared" si="1"/>
        <v>1200</v>
      </c>
      <c r="G5" s="3">
        <f t="shared" si="2"/>
        <v>3369600</v>
      </c>
      <c r="H5" s="3">
        <f>F5*(D5/20)</f>
        <v>129600</v>
      </c>
    </row>
    <row r="6" spans="1:8" x14ac:dyDescent="0.25">
      <c r="A6" s="1" t="s">
        <v>5</v>
      </c>
      <c r="B6" s="2">
        <v>7.5</v>
      </c>
      <c r="C6" s="2">
        <v>0.68</v>
      </c>
      <c r="D6" s="2">
        <v>1210</v>
      </c>
      <c r="E6" s="3">
        <f t="shared" si="0"/>
        <v>1573</v>
      </c>
      <c r="F6" s="3">
        <f t="shared" si="1"/>
        <v>1360</v>
      </c>
      <c r="G6" s="3">
        <f t="shared" si="2"/>
        <v>2139280</v>
      </c>
      <c r="H6" s="3">
        <f>F6*(D6/20)</f>
        <v>82280</v>
      </c>
    </row>
    <row r="7" spans="1:8" x14ac:dyDescent="0.25">
      <c r="A7" s="1" t="s">
        <v>6</v>
      </c>
      <c r="B7" s="2">
        <v>7.8</v>
      </c>
      <c r="C7" s="2">
        <v>0.68</v>
      </c>
      <c r="D7" s="2">
        <v>1252</v>
      </c>
      <c r="E7" s="3">
        <f t="shared" si="0"/>
        <v>1627.6000000000001</v>
      </c>
      <c r="F7" s="3">
        <f t="shared" si="1"/>
        <v>1307.6923076923076</v>
      </c>
      <c r="G7" s="3">
        <f t="shared" si="2"/>
        <v>2128400</v>
      </c>
      <c r="H7" s="3">
        <f>F7*(D7/20)</f>
        <v>81861.538461538454</v>
      </c>
    </row>
    <row r="8" spans="1:8" x14ac:dyDescent="0.25">
      <c r="A8" s="1" t="s">
        <v>7</v>
      </c>
      <c r="B8" s="2">
        <v>3.8</v>
      </c>
      <c r="C8" s="2">
        <v>0.8</v>
      </c>
      <c r="D8" s="2">
        <v>896</v>
      </c>
      <c r="E8" s="3">
        <f t="shared" si="0"/>
        <v>1164.8</v>
      </c>
      <c r="F8" s="3">
        <f t="shared" si="1"/>
        <v>3157.8947368421054</v>
      </c>
      <c r="G8" s="3">
        <f t="shared" si="2"/>
        <v>3678315.789473684</v>
      </c>
      <c r="H8" s="3">
        <f>F8*(D8/20)</f>
        <v>141473.68421052632</v>
      </c>
    </row>
    <row r="9" spans="1:8" x14ac:dyDescent="0.25">
      <c r="A9" s="1" t="s">
        <v>14</v>
      </c>
      <c r="B9" s="2">
        <v>6</v>
      </c>
      <c r="C9" s="2">
        <v>0.7</v>
      </c>
      <c r="D9" s="2">
        <v>792</v>
      </c>
      <c r="E9" s="3">
        <f t="shared" si="0"/>
        <v>1029.6000000000001</v>
      </c>
      <c r="F9" s="3">
        <f t="shared" si="1"/>
        <v>1750</v>
      </c>
      <c r="G9" s="3">
        <f t="shared" si="2"/>
        <v>1801800.0000000002</v>
      </c>
      <c r="H9" s="3">
        <f>F9*(D9/20)</f>
        <v>69300</v>
      </c>
    </row>
    <row r="10" spans="1:8" x14ac:dyDescent="0.25">
      <c r="A10" s="1" t="s">
        <v>13</v>
      </c>
      <c r="B10" s="1"/>
      <c r="C10" s="1"/>
      <c r="D10" s="1">
        <f>SUM(D2:D9)</f>
        <v>9779</v>
      </c>
      <c r="E10" s="4">
        <f>SUM(E2:E9)</f>
        <v>12712.7</v>
      </c>
      <c r="F10" s="4">
        <f>SUM(F2:F9)</f>
        <v>13241.133263021808</v>
      </c>
      <c r="G10" s="4">
        <f>SUM(G2:G9)</f>
        <v>19393363.184431665</v>
      </c>
      <c r="H10" s="4">
        <f>SUM(H2:H9)</f>
        <v>745898.5840166026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Mahafuz</dc:creator>
  <cp:lastModifiedBy>Md. Mahfuzur Rahman</cp:lastModifiedBy>
  <dcterms:created xsi:type="dcterms:W3CDTF">2015-06-05T18:17:20Z</dcterms:created>
  <dcterms:modified xsi:type="dcterms:W3CDTF">2026-03-29T06:15:59Z</dcterms:modified>
</cp:coreProperties>
</file>