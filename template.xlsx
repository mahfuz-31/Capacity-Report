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1. Work\1. Daily\Capacity Report\"/>
    </mc:Choice>
  </mc:AlternateContent>
  <xr:revisionPtr revIDLastSave="0" documentId="13_ncr:1_{EC010E3F-0483-411F-84C9-BA16D1E5C277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Final" sheetId="1" r:id="rId1"/>
    <sheet name="Unit Wise" sheetId="2" r:id="rId2"/>
    <sheet name="Weekly Blank Days" sheetId="3" r:id="rId3"/>
    <sheet name="Buyer Wise" sheetId="4" r:id="rId4"/>
    <sheet name="Provision" sheetId="5" r:id="rId5"/>
    <sheet name="Unit and Buyer Wise" sheetId="6" r:id="rId6"/>
    <sheet name="Comparison" sheetId="7" r:id="rId7"/>
  </sheets>
  <definedNames>
    <definedName name="_xlnm.Print_Area" localSheetId="0">Final!$A$1:$K$54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C4" i="1"/>
  <c r="D4" i="1" s="1"/>
  <c r="C60" i="1"/>
  <c r="F5" i="1" s="1"/>
  <c r="D67" i="1"/>
  <c r="J12" i="1" s="1"/>
  <c r="C67" i="1"/>
  <c r="F12" i="1" s="1"/>
  <c r="D66" i="1"/>
  <c r="J11" i="1" s="1"/>
  <c r="C66" i="1"/>
  <c r="F11" i="1" s="1"/>
  <c r="D65" i="1"/>
  <c r="J10" i="1" s="1"/>
  <c r="C65" i="1"/>
  <c r="F10" i="1" s="1"/>
  <c r="D64" i="1"/>
  <c r="J9" i="1" s="1"/>
  <c r="C64" i="1"/>
  <c r="F9" i="1" s="1"/>
  <c r="D63" i="1"/>
  <c r="J8" i="1" s="1"/>
  <c r="C63" i="1"/>
  <c r="D62" i="1"/>
  <c r="J7" i="1" s="1"/>
  <c r="C62" i="1"/>
  <c r="F7" i="1" s="1"/>
  <c r="D61" i="1"/>
  <c r="J6" i="1" s="1"/>
  <c r="C61" i="1"/>
  <c r="F6" i="1" s="1"/>
  <c r="D60" i="1"/>
  <c r="J5" i="1" s="1"/>
  <c r="H4" i="1" l="1"/>
  <c r="G4" i="1"/>
</calcChain>
</file>

<file path=xl/sharedStrings.xml><?xml version="1.0" encoding="utf-8"?>
<sst xmlns="http://schemas.openxmlformats.org/spreadsheetml/2006/main" count="393" uniqueCount="120">
  <si>
    <t>Capacity Report</t>
  </si>
  <si>
    <t>Monthly Blank Days</t>
  </si>
  <si>
    <t>Unit wise, Buyer wise Monthly Plan Qty.</t>
  </si>
  <si>
    <t>Factory</t>
  </si>
  <si>
    <t>-</t>
  </si>
  <si>
    <t>Pl. Board</t>
  </si>
  <si>
    <t>Factory+Buyer</t>
  </si>
  <si>
    <t>28-Feb-26</t>
  </si>
  <si>
    <t>31-Mar-26</t>
  </si>
  <si>
    <t>30-Apr-26</t>
  </si>
  <si>
    <t>31-May-26</t>
  </si>
  <si>
    <t>30-Jun-26</t>
  </si>
  <si>
    <t>Change</t>
  </si>
  <si>
    <t>Blank%</t>
  </si>
  <si>
    <t>FFL2</t>
  </si>
  <si>
    <t>FFL2C &amp; A BUYING GMBH &amp; CO. KG</t>
  </si>
  <si>
    <t>JAL</t>
  </si>
  <si>
    <t>20 MC Line Days</t>
  </si>
  <si>
    <t>FFL2H &amp; M HENNES &amp; MAURITAZ GBC AB</t>
  </si>
  <si>
    <t>JFL</t>
  </si>
  <si>
    <t>FFL2INDISKA</t>
  </si>
  <si>
    <t>JKL</t>
  </si>
  <si>
    <t>MFL</t>
  </si>
  <si>
    <t>JALC &amp; A BUYING GMBH &amp; CO. KG</t>
  </si>
  <si>
    <t>JALH &amp; M HENNES &amp; MAURITAZ GBC AB</t>
  </si>
  <si>
    <t>JKL2</t>
  </si>
  <si>
    <t>JALVOGUE SOURCING LIMITED</t>
  </si>
  <si>
    <t>GTAL</t>
  </si>
  <si>
    <t>JFLASDA STORE LTD.</t>
  </si>
  <si>
    <t>Working Days</t>
  </si>
  <si>
    <t>JFLBESTSELLER A/S</t>
  </si>
  <si>
    <t>JFLMQ MARQET AB</t>
  </si>
  <si>
    <t>Jan Plan Quantity Balance =</t>
  </si>
  <si>
    <t>JKLASDA STORE LTD.</t>
  </si>
  <si>
    <t>Weekly Blank Days</t>
  </si>
  <si>
    <t>JKLBONITA GMBS &amp; CO. KG</t>
  </si>
  <si>
    <t>01-Feb-26</t>
  </si>
  <si>
    <t>08-Feb-26</t>
  </si>
  <si>
    <t>15-Feb-26</t>
  </si>
  <si>
    <t>22-Feb-26</t>
  </si>
  <si>
    <t>01-Mar-26</t>
  </si>
  <si>
    <t>08-Mar-26</t>
  </si>
  <si>
    <t>15-Mar-26</t>
  </si>
  <si>
    <t>22-Mar-26</t>
  </si>
  <si>
    <t>JKLCAMEL ACTIVE / BHB-Fashion Service Gmbh</t>
  </si>
  <si>
    <t>JKLCECIL GmbH</t>
  </si>
  <si>
    <t>JKLG-STAR RAW CV</t>
  </si>
  <si>
    <t>JKLGUESS EUROPE SAGL</t>
  </si>
  <si>
    <t>JKLH &amp; M HENNES &amp; MAURITAZ GBC AB</t>
  </si>
  <si>
    <t>JKLNEXT SOURCING LTD.</t>
  </si>
  <si>
    <t>JKLPUMA</t>
  </si>
  <si>
    <t>JKLRalph Lauren Corporation</t>
  </si>
  <si>
    <t>JKLTOM TAILOR SOURCING LTD.</t>
  </si>
  <si>
    <t>JKLVF CORPORATION</t>
  </si>
  <si>
    <t>Buyer wise Monthly Plan qty.</t>
  </si>
  <si>
    <t>JKL2ASDA STORE LTD.</t>
  </si>
  <si>
    <t>Buyer Name</t>
  </si>
  <si>
    <t>05-Jan (Feb)</t>
  </si>
  <si>
    <t>04-Jan (Feb)</t>
  </si>
  <si>
    <t>Change (Feb)</t>
  </si>
  <si>
    <t>05-Jan (Mar)</t>
  </si>
  <si>
    <t>04-Jan (Mar)</t>
  </si>
  <si>
    <t>Change (Mar)</t>
  </si>
  <si>
    <t>JKL2BESTSELLER A/S</t>
  </si>
  <si>
    <t>ASDA STORE LTD.</t>
  </si>
  <si>
    <t>JKL2C &amp; A BUYING GMBH &amp; CO. KG</t>
  </si>
  <si>
    <t>BESTSELLER A/S</t>
  </si>
  <si>
    <t>JKL2GUESS EUROPE SAGL</t>
  </si>
  <si>
    <t>BONITA GMBS &amp; CO. KG</t>
  </si>
  <si>
    <t>JKL2H &amp; M HENNES &amp; MAURITAZ GBC AB</t>
  </si>
  <si>
    <t>C &amp; A BUYING GMBH &amp; CO. KG</t>
  </si>
  <si>
    <t>JKL2KMART AUSTRALIA LIMITED</t>
  </si>
  <si>
    <t>CAMEL ACTIVE / BHB-Fashion Service Gmbh</t>
  </si>
  <si>
    <t>JKL2NEW FRONTIER</t>
  </si>
  <si>
    <t>CECIL GmbH</t>
  </si>
  <si>
    <t>JKL2PUMA</t>
  </si>
  <si>
    <t>G-STAR RAW CV</t>
  </si>
  <si>
    <t>GUESS EUROPE SAGL</t>
  </si>
  <si>
    <t>MFLASDA STORE LTD.</t>
  </si>
  <si>
    <t>H &amp; M HENNES &amp; MAURITAZ GBC AB</t>
  </si>
  <si>
    <t>MFLPUMA</t>
  </si>
  <si>
    <t>INDISKA</t>
  </si>
  <si>
    <t>MFLVF CORPORATION</t>
  </si>
  <si>
    <t>KMART AUSTRALIA LIMITED</t>
  </si>
  <si>
    <t>MQ MARQET AB</t>
  </si>
  <si>
    <t>NEW FRONTIER</t>
  </si>
  <si>
    <t>NEXT SOURCING LTD.</t>
  </si>
  <si>
    <t>PUMA</t>
  </si>
  <si>
    <t>Ralph Lauren Corporation</t>
  </si>
  <si>
    <t>TOM TAILOR SOURCING LTD.</t>
  </si>
  <si>
    <t>VF CORPORATION</t>
  </si>
  <si>
    <t>VOGUE SOURCING LIMITED</t>
  </si>
  <si>
    <t>Buyer wise Monthly Provision</t>
  </si>
  <si>
    <t>Buyer</t>
  </si>
  <si>
    <t>31-Jan-26</t>
  </si>
  <si>
    <t>MC Qty</t>
  </si>
  <si>
    <t>Available Capacity (Second)</t>
  </si>
  <si>
    <t>JKL-U2</t>
  </si>
  <si>
    <t>RMG.Total</t>
  </si>
  <si>
    <t>15-Dec (Jan)</t>
  </si>
  <si>
    <t>13-Dec (Jan)</t>
  </si>
  <si>
    <t>Change (Jan)</t>
  </si>
  <si>
    <t>15-Dec (Feb)</t>
  </si>
  <si>
    <t>13-Dec (Feb)</t>
  </si>
  <si>
    <t>29.7%</t>
  </si>
  <si>
    <t>26 Days</t>
  </si>
  <si>
    <t>63.46%</t>
  </si>
  <si>
    <t>22 Days</t>
  </si>
  <si>
    <t>04-Jan-26</t>
  </si>
  <si>
    <t>11-Jan-26</t>
  </si>
  <si>
    <t>18-Jan-26</t>
  </si>
  <si>
    <t>25-Jan-26</t>
  </si>
  <si>
    <t>Units</t>
  </si>
  <si>
    <t>Yesterday Qty. (Feb)</t>
  </si>
  <si>
    <t>Today Qty. (Feb)</t>
  </si>
  <si>
    <t>Yesterday Qty. (Mar)</t>
  </si>
  <si>
    <t>Today Qty. (Mar)</t>
  </si>
  <si>
    <t>Available Capacity (First)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</si>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</sst>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Playfair Display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CE1E0"/>
        <bgColor rgb="FFDCE1E0"/>
      </patternFill>
    </fill>
    <fill>
      <patternFill patternType="solid">
        <fgColor theme="2" tint="-9.9978637043366805E-2"/>
        <bgColor rgb="FFDCE1E0"/>
      </patternFill>
    </fill>
    <fill>
      <patternFill patternType="solid">
        <fgColor theme="7" tint="0.79998168889431442"/>
        <bgColor rgb="FFDCE1E0"/>
      </patternFill>
    </fill>
    <fill>
      <patternFill patternType="solid">
        <fgColor rgb="FFDCE1E0"/>
        <bgColor rgb="FFDCE1E0"/>
      </patternFill>
    </fill>
    <fill>
      <patternFill patternType="solid">
        <fgColor rgb="FFDCE1E0"/>
        <bgColor rgb="FFDCE1E0"/>
      </patternFill>
    </fill>
    <fill>
      <patternFill patternType="solid">
        <fgColor rgb="FFDCE1E0"/>
        <bgColor rgb="FFDCE1E0"/>
      </patternFill>
    </fill>
    <fill>
      <patternFill patternType="solid">
        <fgColor rgb="FFDCE1E0"/>
        <bgColor rgb="FFDCE1E0"/>
      </patternFill>
    </fill>
    <fill>
      <patternFill patternType="solid">
        <fgColor rgb="FFDCE1E0"/>
        <bgColor rgb="FFDCE1E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A4A4A4"/>
      </top>
      <bottom style="thin">
        <color rgb="FFA4A4A4"/>
      </bottom>
      <diagonal/>
    </border>
    <border>
      <left/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 style="thin">
        <color rgb="FFA4A4A4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/>
      <right/>
      <top/>
      <bottom/>
      <diagonal/>
    </border>
  </borders>
  <cellStyleXfs count="2">
    <xf numFmtId="0" fontId="0" fillId="0" borderId="9"/>
    <xf numFmtId="9" fontId="1" fillId="0" borderId="9"/>
  </cellStyleXfs>
  <cellXfs count="64">
    <xf numFmtId="0" fontId="0" fillId="0" borderId="0" xfId="0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6" fillId="0" borderId="0" xfId="0" applyFont="1" applyBorder="1"/>
    <xf numFmtId="0" fontId="6" fillId="0" borderId="1" xfId="0" applyFont="1" applyBorder="1"/>
    <xf numFmtId="0" fontId="5" fillId="0" borderId="6" xfId="0" applyFont="1" applyBorder="1"/>
    <xf numFmtId="164" fontId="5" fillId="0" borderId="6" xfId="1" applyNumberFormat="1" applyFont="1" applyBorder="1"/>
    <xf numFmtId="0" fontId="4" fillId="2" borderId="6" xfId="0" applyFont="1" applyFill="1" applyBorder="1"/>
    <xf numFmtId="0" fontId="5" fillId="0" borderId="7" xfId="0" applyFont="1" applyBorder="1"/>
    <xf numFmtId="0" fontId="8" fillId="8" borderId="8" xfId="0" applyFont="1" applyFill="1" applyBorder="1"/>
    <xf numFmtId="0" fontId="7" fillId="0" borderId="8" xfId="0" applyFont="1" applyBorder="1"/>
    <xf numFmtId="3" fontId="7" fillId="0" borderId="8" xfId="0" applyNumberFormat="1" applyFont="1" applyBorder="1"/>
    <xf numFmtId="3" fontId="8" fillId="8" borderId="8" xfId="0" applyNumberFormat="1" applyFont="1" applyFill="1" applyBorder="1"/>
    <xf numFmtId="0" fontId="9" fillId="0" borderId="7" xfId="0" applyFont="1" applyBorder="1"/>
    <xf numFmtId="0" fontId="0" fillId="0" borderId="7" xfId="0" applyBorder="1"/>
    <xf numFmtId="0" fontId="11" fillId="9" borderId="10" xfId="0" applyFont="1" applyFill="1" applyBorder="1"/>
    <xf numFmtId="0" fontId="10" fillId="0" borderId="10" xfId="0" applyFont="1" applyBorder="1"/>
    <xf numFmtId="3" fontId="10" fillId="0" borderId="10" xfId="0" applyNumberFormat="1" applyFont="1" applyBorder="1"/>
    <xf numFmtId="3" fontId="12" fillId="0" borderId="8" xfId="0" applyNumberFormat="1" applyFont="1" applyBorder="1"/>
    <xf numFmtId="3" fontId="11" fillId="9" borderId="10" xfId="0" applyNumberFormat="1" applyFont="1" applyFill="1" applyBorder="1"/>
    <xf numFmtId="0" fontId="11" fillId="0" borderId="1" xfId="0" applyFont="1" applyBorder="1"/>
    <xf numFmtId="3" fontId="11" fillId="0" borderId="1" xfId="0" applyNumberFormat="1" applyFont="1" applyBorder="1"/>
    <xf numFmtId="3" fontId="12" fillId="8" borderId="8" xfId="0" applyNumberFormat="1" applyFont="1" applyFill="1" applyBorder="1"/>
    <xf numFmtId="3" fontId="12" fillId="0" borderId="10" xfId="0" applyNumberFormat="1" applyFont="1" applyBorder="1"/>
    <xf numFmtId="0" fontId="0" fillId="0" borderId="11" xfId="0" applyBorder="1"/>
    <xf numFmtId="0" fontId="9" fillId="0" borderId="11" xfId="0" applyFont="1" applyBorder="1"/>
    <xf numFmtId="0" fontId="11" fillId="0" borderId="11" xfId="0" applyFont="1" applyBorder="1"/>
    <xf numFmtId="0" fontId="10" fillId="0" borderId="11" xfId="0" applyFont="1" applyBorder="1"/>
    <xf numFmtId="0" fontId="10" fillId="0" borderId="2" xfId="0" applyFont="1" applyBorder="1" applyAlignment="1">
      <alignment horizontal="center" vertical="top"/>
    </xf>
    <xf numFmtId="0" fontId="10" fillId="0" borderId="0" xfId="0" applyFont="1" applyBorder="1"/>
    <xf numFmtId="0" fontId="11" fillId="9" borderId="10" xfId="0" applyFont="1" applyFill="1" applyBorder="1" applyAlignment="1">
      <alignment horizontal="center" vertical="top"/>
    </xf>
    <xf numFmtId="0" fontId="10" fillId="7" borderId="10" xfId="0" applyFont="1" applyFill="1" applyBorder="1"/>
    <xf numFmtId="3" fontId="10" fillId="7" borderId="10" xfId="0" applyNumberFormat="1" applyFont="1" applyFill="1" applyBorder="1"/>
    <xf numFmtId="0" fontId="10" fillId="6" borderId="10" xfId="0" applyFont="1" applyFill="1" applyBorder="1"/>
    <xf numFmtId="3" fontId="10" fillId="6" borderId="10" xfId="0" applyNumberFormat="1" applyFont="1" applyFill="1" applyBorder="1"/>
    <xf numFmtId="0" fontId="10" fillId="5" borderId="10" xfId="0" applyFont="1" applyFill="1" applyBorder="1"/>
    <xf numFmtId="3" fontId="10" fillId="5" borderId="10" xfId="0" applyNumberFormat="1" applyFont="1" applyFill="1" applyBorder="1"/>
    <xf numFmtId="0" fontId="9" fillId="0" borderId="9" xfId="0" applyFont="1"/>
    <xf numFmtId="0" fontId="0" fillId="0" borderId="9" xfId="0"/>
    <xf numFmtId="0" fontId="8" fillId="9" borderId="10" xfId="0" applyFont="1" applyFill="1" applyBorder="1"/>
    <xf numFmtId="0" fontId="7" fillId="0" borderId="10" xfId="0" applyFont="1" applyBorder="1"/>
    <xf numFmtId="3" fontId="7" fillId="0" borderId="10" xfId="0" applyNumberFormat="1" applyFont="1" applyBorder="1"/>
    <xf numFmtId="3" fontId="8" fillId="9" borderId="10" xfId="0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" fontId="4" fillId="9" borderId="10" xfId="0" applyNumberFormat="1" applyFont="1" applyFill="1" applyBorder="1" applyAlignment="1">
      <alignment horizontal="center" vertical="top"/>
    </xf>
    <xf numFmtId="0" fontId="4" fillId="9" borderId="10" xfId="0" applyFont="1" applyFill="1" applyBorder="1" applyAlignment="1">
      <alignment horizontal="center" vertical="top"/>
    </xf>
    <xf numFmtId="164" fontId="4" fillId="2" borderId="6" xfId="1" applyNumberFormat="1" applyFont="1" applyFill="1" applyBorder="1"/>
    <xf numFmtId="3" fontId="5" fillId="0" borderId="10" xfId="0" applyNumberFormat="1" applyFont="1" applyBorder="1"/>
    <xf numFmtId="3" fontId="4" fillId="9" borderId="10" xfId="0" applyNumberFormat="1" applyFont="1" applyFill="1" applyBorder="1"/>
    <xf numFmtId="164" fontId="12" fillId="0" borderId="6" xfId="1" applyNumberFormat="1" applyFont="1" applyBorder="1"/>
    <xf numFmtId="0" fontId="4" fillId="2" borderId="8" xfId="0" applyFont="1" applyFill="1" applyBorder="1"/>
    <xf numFmtId="0" fontId="0" fillId="0" borderId="4" xfId="0" applyBorder="1"/>
    <xf numFmtId="0" fontId="4" fillId="2" borderId="8" xfId="0" applyFont="1" applyFill="1" applyBorder="1" applyAlignment="1">
      <alignment horizontal="center"/>
    </xf>
    <xf numFmtId="0" fontId="2" fillId="0" borderId="9" xfId="0" applyFont="1" applyAlignment="1">
      <alignment horizontal="center" vertical="center"/>
    </xf>
    <xf numFmtId="0" fontId="0" fillId="0" borderId="0" xfId="0" applyBorder="1"/>
    <xf numFmtId="0" fontId="4" fillId="3" borderId="10" xfId="0" applyFont="1" applyFill="1" applyBorder="1" applyAlignment="1">
      <alignment horizontal="center" vertical="top"/>
    </xf>
    <xf numFmtId="0" fontId="0" fillId="0" borderId="3" xfId="0" applyBorder="1"/>
    <xf numFmtId="0" fontId="4" fillId="4" borderId="10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center"/>
    </xf>
    <xf numFmtId="0" fontId="0" fillId="0" borderId="5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2"/>
  <sheetViews>
    <sheetView tabSelected="1" zoomScaleNormal="100" workbookViewId="0">
      <selection activeCell="F5" sqref="F5:J12"/>
    </sheetView>
  </sheetViews>
  <sheetFormatPr defaultRowHeight="15" x14ac:dyDescent="0.25"/>
  <cols>
    <col min="2" max="2" width="20" bestFit="1" customWidth="1"/>
    <col min="3" max="3" width="13" bestFit="1" customWidth="1"/>
    <col min="4" max="7" width="13" customWidth="1"/>
    <col min="8" max="8" width="13" bestFit="1" customWidth="1"/>
    <col min="9" max="10" width="13" customWidth="1"/>
    <col min="13" max="13" width="48.7109375" bestFit="1" customWidth="1"/>
    <col min="14" max="15" width="10.85546875" bestFit="1" customWidth="1"/>
    <col min="16" max="16" width="10.42578125" bestFit="1" customWidth="1"/>
    <col min="17" max="17" width="11" bestFit="1" customWidth="1"/>
  </cols>
  <sheetData>
    <row r="1" spans="1:18" ht="38.25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"/>
    </row>
    <row r="2" spans="1:18" ht="18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5"/>
      <c r="L2" s="14" t="s">
        <v>2</v>
      </c>
      <c r="M2" s="15"/>
      <c r="N2" s="15"/>
      <c r="O2" s="15"/>
      <c r="P2" s="15"/>
      <c r="Q2" s="15"/>
      <c r="R2" s="15"/>
    </row>
    <row r="3" spans="1:18" x14ac:dyDescent="0.25">
      <c r="A3" s="62" t="s">
        <v>3</v>
      </c>
      <c r="B3" s="62" t="s">
        <v>4</v>
      </c>
      <c r="C3" s="59" t="s">
        <v>118</v>
      </c>
      <c r="D3" s="60"/>
      <c r="E3" s="60"/>
      <c r="F3" s="55"/>
      <c r="G3" s="61" t="s">
        <v>119</v>
      </c>
      <c r="H3" s="60"/>
      <c r="I3" s="60"/>
      <c r="J3" s="55"/>
      <c r="K3" s="5"/>
      <c r="L3" s="16" t="s">
        <v>5</v>
      </c>
      <c r="M3" s="16" t="s">
        <v>6</v>
      </c>
      <c r="N3" s="16" t="s">
        <v>7</v>
      </c>
      <c r="O3" s="16" t="s">
        <v>8</v>
      </c>
      <c r="P3" s="16" t="s">
        <v>9</v>
      </c>
      <c r="Q3" s="16" t="s">
        <v>10</v>
      </c>
      <c r="R3" s="16" t="s">
        <v>11</v>
      </c>
    </row>
    <row r="4" spans="1:18" x14ac:dyDescent="0.25">
      <c r="A4" s="63"/>
      <c r="B4" s="63"/>
      <c r="C4" s="48">
        <f ca="1">TODAY()</f>
        <v>46230</v>
      </c>
      <c r="D4" s="48">
        <f ca="1">C4-1</f>
        <v>46229</v>
      </c>
      <c r="E4" s="49" t="s">
        <v>12</v>
      </c>
      <c r="F4" s="49" t="s">
        <v>13</v>
      </c>
      <c r="G4" s="48">
        <f ca="1">C4</f>
        <v>46230</v>
      </c>
      <c r="H4" s="48">
        <f ca="1">D4</f>
        <v>46229</v>
      </c>
      <c r="I4" s="49" t="s">
        <v>12</v>
      </c>
      <c r="J4" s="49" t="s">
        <v>13</v>
      </c>
      <c r="K4" s="5"/>
      <c r="L4" s="17" t="s">
        <v>14</v>
      </c>
      <c r="M4" s="17" t="s">
        <v>15</v>
      </c>
      <c r="N4" s="18">
        <v>135334</v>
      </c>
      <c r="O4" s="18"/>
      <c r="P4" s="17"/>
      <c r="Q4" s="17"/>
      <c r="R4" s="17"/>
    </row>
    <row r="5" spans="1:18" x14ac:dyDescent="0.25">
      <c r="A5" s="6" t="s">
        <v>16</v>
      </c>
      <c r="B5" s="6" t="s">
        <v>17</v>
      </c>
      <c r="C5" s="24">
        <v>-64</v>
      </c>
      <c r="D5" s="24">
        <v>-60</v>
      </c>
      <c r="E5" s="51">
        <v>4</v>
      </c>
      <c r="F5" s="53">
        <f>C5/C60</f>
        <v>-3.8208955223880597E-2</v>
      </c>
      <c r="G5" s="51">
        <v>1402</v>
      </c>
      <c r="H5" s="51">
        <v>1429</v>
      </c>
      <c r="I5" s="51">
        <v>27</v>
      </c>
      <c r="J5" s="7">
        <f>G5/D60</f>
        <v>0.80482204362801379</v>
      </c>
      <c r="K5" s="5"/>
      <c r="L5" s="17" t="s">
        <v>14</v>
      </c>
      <c r="M5" s="17" t="s">
        <v>18</v>
      </c>
      <c r="N5" s="18">
        <v>659019</v>
      </c>
      <c r="O5" s="18">
        <v>28758</v>
      </c>
      <c r="P5" s="18"/>
      <c r="Q5" s="17"/>
      <c r="R5" s="17"/>
    </row>
    <row r="6" spans="1:18" x14ac:dyDescent="0.25">
      <c r="A6" s="6" t="s">
        <v>19</v>
      </c>
      <c r="B6" s="6" t="s">
        <v>17</v>
      </c>
      <c r="C6" s="51">
        <v>164</v>
      </c>
      <c r="D6" s="51">
        <v>198</v>
      </c>
      <c r="E6" s="51">
        <v>34</v>
      </c>
      <c r="F6" s="7">
        <f t="shared" ref="F6:F11" si="0">C6/C61</f>
        <v>0.21578947368421053</v>
      </c>
      <c r="G6" s="51">
        <v>430</v>
      </c>
      <c r="H6" s="51">
        <v>438</v>
      </c>
      <c r="I6" s="51">
        <v>8</v>
      </c>
      <c r="J6" s="7">
        <f t="shared" ref="J6:J12" si="1">G6/D61</f>
        <v>0.54402834008097167</v>
      </c>
      <c r="K6" s="5"/>
      <c r="L6" s="17" t="s">
        <v>14</v>
      </c>
      <c r="M6" s="17" t="s">
        <v>20</v>
      </c>
      <c r="N6" s="18">
        <v>2500</v>
      </c>
      <c r="O6" s="18"/>
      <c r="P6" s="17"/>
      <c r="Q6" s="17"/>
      <c r="R6" s="17"/>
    </row>
    <row r="7" spans="1:18" x14ac:dyDescent="0.25">
      <c r="A7" s="6" t="s">
        <v>21</v>
      </c>
      <c r="B7" s="6" t="s">
        <v>17</v>
      </c>
      <c r="C7" s="51">
        <v>462</v>
      </c>
      <c r="D7" s="51">
        <v>485</v>
      </c>
      <c r="E7" s="51">
        <v>23</v>
      </c>
      <c r="F7" s="7">
        <f t="shared" si="0"/>
        <v>0.24299802761341222</v>
      </c>
      <c r="G7" s="51">
        <v>771</v>
      </c>
      <c r="H7" s="51">
        <v>990</v>
      </c>
      <c r="I7" s="51">
        <v>219</v>
      </c>
      <c r="J7" s="7">
        <f t="shared" si="1"/>
        <v>0.38992565619784558</v>
      </c>
      <c r="K7" s="5"/>
      <c r="L7" s="16" t="s">
        <v>14</v>
      </c>
      <c r="M7" s="16" t="s">
        <v>4</v>
      </c>
      <c r="N7" s="20">
        <v>796854</v>
      </c>
      <c r="O7" s="20">
        <v>28758</v>
      </c>
      <c r="P7" s="20"/>
      <c r="Q7" s="16"/>
      <c r="R7" s="16"/>
    </row>
    <row r="8" spans="1:18" x14ac:dyDescent="0.25">
      <c r="A8" s="6" t="s">
        <v>22</v>
      </c>
      <c r="B8" s="6" t="s">
        <v>17</v>
      </c>
      <c r="C8" s="51">
        <v>18</v>
      </c>
      <c r="D8" s="51">
        <v>53</v>
      </c>
      <c r="E8" s="51">
        <v>35</v>
      </c>
      <c r="F8" s="7">
        <f t="shared" si="0"/>
        <v>1.1501597444089457E-2</v>
      </c>
      <c r="G8" s="51">
        <v>28</v>
      </c>
      <c r="H8" s="51">
        <v>77</v>
      </c>
      <c r="I8" s="51">
        <v>49</v>
      </c>
      <c r="J8" s="7">
        <f t="shared" si="1"/>
        <v>1.7203244040304745E-2</v>
      </c>
      <c r="K8" s="5"/>
      <c r="L8" s="17" t="s">
        <v>16</v>
      </c>
      <c r="M8" s="17" t="s">
        <v>23</v>
      </c>
      <c r="N8" s="18">
        <v>140567</v>
      </c>
      <c r="O8" s="18">
        <v>7595</v>
      </c>
      <c r="P8" s="18"/>
      <c r="Q8" s="17"/>
      <c r="R8" s="17"/>
    </row>
    <row r="9" spans="1:18" x14ac:dyDescent="0.25">
      <c r="A9" s="6" t="s">
        <v>14</v>
      </c>
      <c r="B9" s="6" t="s">
        <v>17</v>
      </c>
      <c r="C9" s="51">
        <v>305</v>
      </c>
      <c r="D9" s="51">
        <v>435</v>
      </c>
      <c r="E9" s="51">
        <v>130</v>
      </c>
      <c r="F9" s="7">
        <f t="shared" si="0"/>
        <v>0.20165289256198346</v>
      </c>
      <c r="G9" s="51">
        <v>1508</v>
      </c>
      <c r="H9" s="51">
        <v>1482</v>
      </c>
      <c r="I9" s="24">
        <v>-26</v>
      </c>
      <c r="J9" s="7">
        <f t="shared" si="1"/>
        <v>0.95867768595041325</v>
      </c>
      <c r="K9" s="5"/>
      <c r="L9" s="17" t="s">
        <v>16</v>
      </c>
      <c r="M9" s="17" t="s">
        <v>24</v>
      </c>
      <c r="N9" s="18">
        <v>462779</v>
      </c>
      <c r="O9" s="18">
        <v>2396</v>
      </c>
      <c r="P9" s="18"/>
      <c r="Q9" s="17"/>
      <c r="R9" s="17"/>
    </row>
    <row r="10" spans="1:18" x14ac:dyDescent="0.25">
      <c r="A10" s="6" t="s">
        <v>25</v>
      </c>
      <c r="B10" s="6" t="s">
        <v>17</v>
      </c>
      <c r="C10" s="51">
        <v>533</v>
      </c>
      <c r="D10" s="51">
        <v>633</v>
      </c>
      <c r="E10" s="51">
        <v>100</v>
      </c>
      <c r="F10" s="7">
        <f t="shared" si="0"/>
        <v>0.19740740740740742</v>
      </c>
      <c r="G10" s="51">
        <v>1824</v>
      </c>
      <c r="H10" s="51">
        <v>1880</v>
      </c>
      <c r="I10" s="51">
        <v>56</v>
      </c>
      <c r="J10" s="7">
        <f t="shared" si="1"/>
        <v>0.6495726495726496</v>
      </c>
      <c r="K10" s="5"/>
      <c r="L10" s="17" t="s">
        <v>16</v>
      </c>
      <c r="M10" s="17" t="s">
        <v>26</v>
      </c>
      <c r="N10" s="18">
        <v>9112</v>
      </c>
      <c r="O10" s="17"/>
      <c r="P10" s="17"/>
      <c r="Q10" s="17"/>
      <c r="R10" s="17"/>
    </row>
    <row r="11" spans="1:18" x14ac:dyDescent="0.25">
      <c r="A11" s="6" t="s">
        <v>27</v>
      </c>
      <c r="B11" s="6" t="s">
        <v>17</v>
      </c>
      <c r="C11" s="51">
        <v>317</v>
      </c>
      <c r="D11" s="51">
        <v>423</v>
      </c>
      <c r="E11" s="51">
        <v>106</v>
      </c>
      <c r="F11" s="7">
        <f t="shared" si="0"/>
        <v>0.32020202020202021</v>
      </c>
      <c r="G11" s="51">
        <v>975</v>
      </c>
      <c r="H11" s="51">
        <v>982</v>
      </c>
      <c r="I11" s="51">
        <v>7</v>
      </c>
      <c r="J11" s="7">
        <f t="shared" si="1"/>
        <v>0.94696969696969702</v>
      </c>
      <c r="K11" s="5"/>
      <c r="L11" s="16" t="s">
        <v>16</v>
      </c>
      <c r="M11" s="16" t="s">
        <v>4</v>
      </c>
      <c r="N11" s="20">
        <v>612459</v>
      </c>
      <c r="O11" s="20">
        <v>9991</v>
      </c>
      <c r="P11" s="20"/>
      <c r="Q11" s="16"/>
      <c r="R11" s="16"/>
    </row>
    <row r="12" spans="1:18" x14ac:dyDescent="0.25">
      <c r="A12" s="8" t="s">
        <v>4</v>
      </c>
      <c r="B12" s="8" t="s">
        <v>17</v>
      </c>
      <c r="C12" s="52">
        <v>1734</v>
      </c>
      <c r="D12" s="52">
        <v>2167</v>
      </c>
      <c r="E12" s="52">
        <v>433</v>
      </c>
      <c r="F12" s="50">
        <f>C12/C67</f>
        <v>0.15616345829111786</v>
      </c>
      <c r="G12" s="52">
        <v>6938</v>
      </c>
      <c r="H12" s="52">
        <v>7279</v>
      </c>
      <c r="I12" s="52">
        <v>341</v>
      </c>
      <c r="J12" s="50">
        <f t="shared" si="1"/>
        <v>0.60080187739762214</v>
      </c>
      <c r="K12" s="5"/>
      <c r="L12" s="17" t="s">
        <v>19</v>
      </c>
      <c r="M12" s="17" t="s">
        <v>28</v>
      </c>
      <c r="N12" s="18">
        <v>977135</v>
      </c>
      <c r="O12" s="17">
        <v>340985</v>
      </c>
      <c r="P12" s="17">
        <v>421696</v>
      </c>
      <c r="Q12" s="17">
        <v>199787</v>
      </c>
      <c r="R12" s="17">
        <v>1993</v>
      </c>
    </row>
    <row r="13" spans="1:18" x14ac:dyDescent="0.25">
      <c r="A13" s="54"/>
      <c r="B13" s="55"/>
      <c r="C13" s="56" t="s">
        <v>29</v>
      </c>
      <c r="D13" s="55"/>
      <c r="E13" s="56">
        <v>25</v>
      </c>
      <c r="F13" s="55"/>
      <c r="G13" s="56" t="s">
        <v>29</v>
      </c>
      <c r="H13" s="55"/>
      <c r="I13" s="56">
        <v>26</v>
      </c>
      <c r="J13" s="55"/>
      <c r="K13" s="5"/>
      <c r="L13" s="17" t="s">
        <v>19</v>
      </c>
      <c r="M13" s="17" t="s">
        <v>30</v>
      </c>
      <c r="N13" s="18">
        <v>115236</v>
      </c>
      <c r="O13" s="18">
        <v>60962</v>
      </c>
      <c r="P13" s="18">
        <v>1608</v>
      </c>
      <c r="Q13" s="18">
        <v>13212</v>
      </c>
      <c r="R13" s="18"/>
    </row>
    <row r="14" spans="1:18" x14ac:dyDescent="0.25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17" t="s">
        <v>19</v>
      </c>
      <c r="M14" s="17" t="s">
        <v>31</v>
      </c>
      <c r="N14" s="18">
        <v>55588</v>
      </c>
      <c r="O14" s="18">
        <v>7350</v>
      </c>
      <c r="P14" s="18"/>
      <c r="Q14" s="17"/>
      <c r="R14" s="18"/>
    </row>
    <row r="15" spans="1:18" x14ac:dyDescent="0.25">
      <c r="A15" s="21" t="s">
        <v>32</v>
      </c>
      <c r="B15" s="3"/>
      <c r="C15" s="22">
        <v>14378307</v>
      </c>
      <c r="D15" s="5"/>
      <c r="E15" s="5"/>
      <c r="F15" s="5"/>
      <c r="G15" s="5"/>
      <c r="H15" s="5"/>
      <c r="I15" s="5"/>
      <c r="J15" s="5"/>
      <c r="K15" s="5"/>
      <c r="L15" s="16" t="s">
        <v>19</v>
      </c>
      <c r="M15" s="16" t="s">
        <v>4</v>
      </c>
      <c r="N15" s="20">
        <v>1147959</v>
      </c>
      <c r="O15" s="20">
        <v>409297</v>
      </c>
      <c r="P15" s="20">
        <v>423304</v>
      </c>
      <c r="Q15" s="20">
        <v>212999</v>
      </c>
      <c r="R15" s="20">
        <v>1993</v>
      </c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7" t="s">
        <v>21</v>
      </c>
      <c r="M16" s="17" t="s">
        <v>33</v>
      </c>
      <c r="N16" s="18">
        <v>407703</v>
      </c>
      <c r="O16" s="17">
        <v>2302</v>
      </c>
      <c r="P16" s="17"/>
      <c r="Q16" s="17"/>
      <c r="R16" s="17"/>
    </row>
    <row r="17" spans="1:18" ht="18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5"/>
      <c r="L17" s="17" t="s">
        <v>21</v>
      </c>
      <c r="M17" s="17" t="s">
        <v>35</v>
      </c>
      <c r="N17" s="18">
        <v>30207</v>
      </c>
      <c r="O17" s="17">
        <v>307</v>
      </c>
      <c r="P17" s="17"/>
      <c r="Q17" s="17"/>
      <c r="R17" s="17"/>
    </row>
    <row r="18" spans="1:18" x14ac:dyDescent="0.25">
      <c r="A18" s="10" t="s">
        <v>3</v>
      </c>
      <c r="B18" s="10" t="s">
        <v>4</v>
      </c>
      <c r="C18" s="10" t="s">
        <v>36</v>
      </c>
      <c r="D18" s="10" t="s">
        <v>37</v>
      </c>
      <c r="E18" s="10" t="s">
        <v>38</v>
      </c>
      <c r="F18" s="10" t="s">
        <v>39</v>
      </c>
      <c r="G18" s="10" t="s">
        <v>40</v>
      </c>
      <c r="H18" s="10" t="s">
        <v>41</v>
      </c>
      <c r="I18" s="10" t="s">
        <v>42</v>
      </c>
      <c r="J18" s="10" t="s">
        <v>43</v>
      </c>
      <c r="K18" s="5"/>
      <c r="L18" s="17" t="s">
        <v>21</v>
      </c>
      <c r="M18" s="17" t="s">
        <v>44</v>
      </c>
      <c r="N18" s="18">
        <v>2285</v>
      </c>
      <c r="O18" s="18">
        <v>11379</v>
      </c>
      <c r="P18" s="18"/>
      <c r="Q18" s="17"/>
      <c r="R18" s="17"/>
    </row>
    <row r="19" spans="1:18" x14ac:dyDescent="0.25">
      <c r="A19" s="11" t="s">
        <v>16</v>
      </c>
      <c r="B19" s="11" t="s">
        <v>17</v>
      </c>
      <c r="C19" s="19">
        <v>-77</v>
      </c>
      <c r="D19" s="12">
        <v>84</v>
      </c>
      <c r="E19" s="12">
        <v>226</v>
      </c>
      <c r="F19" s="12">
        <v>278</v>
      </c>
      <c r="G19" s="12">
        <v>366</v>
      </c>
      <c r="H19" s="12">
        <v>388</v>
      </c>
      <c r="I19" s="12">
        <v>401</v>
      </c>
      <c r="J19" s="12">
        <v>201</v>
      </c>
      <c r="K19" s="5"/>
      <c r="L19" s="17" t="s">
        <v>21</v>
      </c>
      <c r="M19" s="17" t="s">
        <v>45</v>
      </c>
      <c r="N19" s="18">
        <v>10720</v>
      </c>
      <c r="O19" s="18"/>
      <c r="P19" s="18"/>
      <c r="Q19" s="17"/>
      <c r="R19" s="17"/>
    </row>
    <row r="20" spans="1:18" x14ac:dyDescent="0.25">
      <c r="A20" s="11" t="s">
        <v>19</v>
      </c>
      <c r="B20" s="11" t="s">
        <v>17</v>
      </c>
      <c r="C20" s="19">
        <v>-31</v>
      </c>
      <c r="D20" s="19">
        <v>-54</v>
      </c>
      <c r="E20" s="19">
        <v>-25</v>
      </c>
      <c r="F20" s="12">
        <v>2</v>
      </c>
      <c r="G20" s="12">
        <v>87</v>
      </c>
      <c r="H20" s="12">
        <v>166</v>
      </c>
      <c r="I20" s="12">
        <v>148</v>
      </c>
      <c r="J20" s="12">
        <v>66</v>
      </c>
      <c r="K20" s="5"/>
      <c r="L20" s="17" t="s">
        <v>21</v>
      </c>
      <c r="M20" s="17" t="s">
        <v>46</v>
      </c>
      <c r="N20" s="18">
        <v>48884</v>
      </c>
      <c r="O20" s="18"/>
      <c r="P20" s="18"/>
      <c r="Q20" s="17"/>
      <c r="R20" s="17"/>
    </row>
    <row r="21" spans="1:18" x14ac:dyDescent="0.25">
      <c r="A21" s="11" t="s">
        <v>21</v>
      </c>
      <c r="B21" s="11" t="s">
        <v>17</v>
      </c>
      <c r="C21" s="19">
        <v>-59</v>
      </c>
      <c r="D21" s="12">
        <v>57</v>
      </c>
      <c r="E21" s="12">
        <v>70</v>
      </c>
      <c r="F21" s="12">
        <v>149</v>
      </c>
      <c r="G21" s="12">
        <v>272</v>
      </c>
      <c r="H21" s="12">
        <v>341</v>
      </c>
      <c r="I21" s="12">
        <v>350</v>
      </c>
      <c r="J21" s="12">
        <v>181</v>
      </c>
      <c r="K21" s="5"/>
      <c r="L21" s="17" t="s">
        <v>21</v>
      </c>
      <c r="M21" s="17" t="s">
        <v>47</v>
      </c>
      <c r="N21" s="18">
        <v>84417</v>
      </c>
      <c r="O21" s="18"/>
      <c r="P21" s="17"/>
      <c r="Q21" s="17"/>
      <c r="R21" s="17"/>
    </row>
    <row r="22" spans="1:18" x14ac:dyDescent="0.25">
      <c r="A22" s="11" t="s">
        <v>22</v>
      </c>
      <c r="B22" s="11" t="s">
        <v>17</v>
      </c>
      <c r="C22" s="12">
        <v>20</v>
      </c>
      <c r="D22" s="19">
        <v>-70</v>
      </c>
      <c r="E22" s="19">
        <v>-84</v>
      </c>
      <c r="F22" s="19">
        <v>-100</v>
      </c>
      <c r="G22" s="19">
        <v>-146</v>
      </c>
      <c r="H22" s="19">
        <v>-186</v>
      </c>
      <c r="I22" s="19">
        <v>-146</v>
      </c>
      <c r="J22" s="19">
        <v>-53</v>
      </c>
      <c r="K22" s="5"/>
      <c r="L22" s="17" t="s">
        <v>21</v>
      </c>
      <c r="M22" s="17" t="s">
        <v>48</v>
      </c>
      <c r="N22" s="18">
        <v>14714</v>
      </c>
      <c r="O22" s="18"/>
      <c r="P22" s="17"/>
      <c r="Q22" s="17"/>
      <c r="R22" s="17"/>
    </row>
    <row r="23" spans="1:18" x14ac:dyDescent="0.25">
      <c r="A23" s="11" t="s">
        <v>14</v>
      </c>
      <c r="B23" s="11" t="s">
        <v>17</v>
      </c>
      <c r="C23" s="19">
        <v>-85</v>
      </c>
      <c r="D23" s="19">
        <v>-36</v>
      </c>
      <c r="E23" s="12">
        <v>168</v>
      </c>
      <c r="F23" s="12">
        <v>305</v>
      </c>
      <c r="G23" s="12">
        <v>382</v>
      </c>
      <c r="H23" s="12">
        <v>377</v>
      </c>
      <c r="I23" s="12">
        <v>387</v>
      </c>
      <c r="J23" s="12">
        <v>193</v>
      </c>
      <c r="K23" s="5"/>
      <c r="L23" s="17" t="s">
        <v>21</v>
      </c>
      <c r="M23" s="17" t="s">
        <v>49</v>
      </c>
      <c r="N23" s="18">
        <v>53962</v>
      </c>
      <c r="O23" s="18">
        <v>7943</v>
      </c>
      <c r="P23" s="17"/>
      <c r="Q23" s="17"/>
      <c r="R23" s="17"/>
    </row>
    <row r="24" spans="1:18" x14ac:dyDescent="0.25">
      <c r="A24" s="11" t="s">
        <v>25</v>
      </c>
      <c r="B24" s="11" t="s">
        <v>17</v>
      </c>
      <c r="C24" s="19">
        <v>-32</v>
      </c>
      <c r="D24" s="19">
        <v>-13</v>
      </c>
      <c r="E24" s="12">
        <v>67</v>
      </c>
      <c r="F24" s="12">
        <v>196</v>
      </c>
      <c r="G24" s="12">
        <v>401</v>
      </c>
      <c r="H24" s="12">
        <v>451</v>
      </c>
      <c r="I24" s="12">
        <v>497</v>
      </c>
      <c r="J24" s="12">
        <v>229</v>
      </c>
      <c r="K24" s="5"/>
      <c r="L24" s="17" t="s">
        <v>21</v>
      </c>
      <c r="M24" s="17" t="s">
        <v>50</v>
      </c>
      <c r="N24" s="18">
        <v>168263</v>
      </c>
      <c r="O24" s="18">
        <v>147858</v>
      </c>
      <c r="P24" s="18">
        <v>3071</v>
      </c>
      <c r="Q24" s="17"/>
      <c r="R24" s="17"/>
    </row>
    <row r="25" spans="1:18" x14ac:dyDescent="0.25">
      <c r="A25" s="11" t="s">
        <v>27</v>
      </c>
      <c r="B25" s="11" t="s">
        <v>17</v>
      </c>
      <c r="C25" s="12">
        <v>238</v>
      </c>
      <c r="D25" s="12">
        <v>198</v>
      </c>
      <c r="E25" s="12">
        <v>198</v>
      </c>
      <c r="F25" s="12">
        <v>198</v>
      </c>
      <c r="G25" s="12">
        <v>238</v>
      </c>
      <c r="H25" s="12">
        <v>238</v>
      </c>
      <c r="I25" s="12">
        <v>238</v>
      </c>
      <c r="J25" s="12">
        <v>119</v>
      </c>
      <c r="K25" s="5"/>
      <c r="L25" s="17" t="s">
        <v>21</v>
      </c>
      <c r="M25" s="17" t="s">
        <v>51</v>
      </c>
      <c r="N25" s="18">
        <v>96589</v>
      </c>
      <c r="O25" s="18">
        <v>24323</v>
      </c>
      <c r="P25" s="17"/>
      <c r="Q25" s="18">
        <v>2002</v>
      </c>
      <c r="R25" s="17"/>
    </row>
    <row r="26" spans="1:18" x14ac:dyDescent="0.25">
      <c r="A26" s="10" t="s">
        <v>4</v>
      </c>
      <c r="B26" s="10" t="s">
        <v>17</v>
      </c>
      <c r="C26" s="23">
        <v>-27</v>
      </c>
      <c r="D26" s="13">
        <v>165</v>
      </c>
      <c r="E26" s="13">
        <v>621</v>
      </c>
      <c r="F26" s="13">
        <v>1029</v>
      </c>
      <c r="G26" s="13">
        <v>1599</v>
      </c>
      <c r="H26" s="13">
        <v>1775</v>
      </c>
      <c r="I26" s="13">
        <v>1875</v>
      </c>
      <c r="J26" s="13">
        <v>935</v>
      </c>
      <c r="K26" s="5"/>
      <c r="L26" s="17" t="s">
        <v>21</v>
      </c>
      <c r="M26" s="17" t="s">
        <v>52</v>
      </c>
      <c r="N26" s="18">
        <v>4472</v>
      </c>
      <c r="O26" s="18">
        <v>15969</v>
      </c>
      <c r="P26" s="18"/>
      <c r="Q26" s="18"/>
      <c r="R26" s="17"/>
    </row>
    <row r="27" spans="1:18" x14ac:dyDescent="0.25">
      <c r="L27" s="17" t="s">
        <v>21</v>
      </c>
      <c r="M27" s="17" t="s">
        <v>53</v>
      </c>
      <c r="N27" s="18">
        <v>4295</v>
      </c>
      <c r="O27" s="18">
        <v>14703</v>
      </c>
      <c r="P27" s="18"/>
      <c r="Q27" s="18"/>
      <c r="R27" s="17"/>
    </row>
    <row r="28" spans="1:18" x14ac:dyDescent="0.25">
      <c r="L28" s="16" t="s">
        <v>21</v>
      </c>
      <c r="M28" s="16" t="s">
        <v>4</v>
      </c>
      <c r="N28" s="20">
        <v>926510</v>
      </c>
      <c r="O28" s="20">
        <v>224784</v>
      </c>
      <c r="P28" s="20">
        <v>3071</v>
      </c>
      <c r="Q28" s="20">
        <v>2002</v>
      </c>
      <c r="R28" s="16"/>
    </row>
    <row r="29" spans="1:18" ht="18" customHeight="1" x14ac:dyDescent="0.25">
      <c r="B29" s="38" t="s">
        <v>54</v>
      </c>
      <c r="C29" s="39"/>
      <c r="D29" s="39"/>
      <c r="E29" s="39"/>
      <c r="F29" s="39"/>
      <c r="G29" s="39"/>
      <c r="H29" s="39"/>
      <c r="L29" s="17" t="s">
        <v>25</v>
      </c>
      <c r="M29" s="17" t="s">
        <v>55</v>
      </c>
      <c r="N29" s="18">
        <v>328272</v>
      </c>
      <c r="O29" s="18">
        <v>46710</v>
      </c>
      <c r="P29" s="18">
        <v>14980</v>
      </c>
      <c r="Q29" s="17"/>
      <c r="R29" s="17"/>
    </row>
    <row r="30" spans="1:18" x14ac:dyDescent="0.25">
      <c r="B30" s="40" t="s">
        <v>56</v>
      </c>
      <c r="C30" s="40" t="s">
        <v>57</v>
      </c>
      <c r="D30" s="40" t="s">
        <v>58</v>
      </c>
      <c r="E30" s="40" t="s">
        <v>59</v>
      </c>
      <c r="F30" s="40" t="s">
        <v>60</v>
      </c>
      <c r="G30" s="40" t="s">
        <v>61</v>
      </c>
      <c r="H30" s="40" t="s">
        <v>62</v>
      </c>
      <c r="L30" s="17" t="s">
        <v>25</v>
      </c>
      <c r="M30" s="17" t="s">
        <v>63</v>
      </c>
      <c r="N30" s="18">
        <v>33234</v>
      </c>
      <c r="O30" s="17">
        <v>15041</v>
      </c>
      <c r="P30" s="17"/>
      <c r="Q30" s="17"/>
      <c r="R30" s="17"/>
    </row>
    <row r="31" spans="1:18" x14ac:dyDescent="0.25">
      <c r="B31" s="41" t="s">
        <v>64</v>
      </c>
      <c r="C31" s="42">
        <v>2039358</v>
      </c>
      <c r="D31" s="42">
        <v>2049066</v>
      </c>
      <c r="E31" s="24">
        <v>-9708</v>
      </c>
      <c r="F31" s="42">
        <v>485782</v>
      </c>
      <c r="G31" s="42">
        <v>485394</v>
      </c>
      <c r="H31" s="42">
        <v>388</v>
      </c>
      <c r="L31" s="17" t="s">
        <v>25</v>
      </c>
      <c r="M31" s="17" t="s">
        <v>65</v>
      </c>
      <c r="N31" s="18">
        <v>309529</v>
      </c>
      <c r="O31" s="17">
        <v>15518</v>
      </c>
      <c r="P31" s="17"/>
      <c r="Q31" s="17"/>
      <c r="R31" s="17"/>
    </row>
    <row r="32" spans="1:18" x14ac:dyDescent="0.25">
      <c r="B32" s="41" t="s">
        <v>66</v>
      </c>
      <c r="C32" s="42">
        <v>148470</v>
      </c>
      <c r="D32" s="42">
        <v>121000</v>
      </c>
      <c r="E32" s="42">
        <v>27470</v>
      </c>
      <c r="F32" s="42">
        <v>76003</v>
      </c>
      <c r="G32" s="42">
        <v>60962</v>
      </c>
      <c r="H32" s="42">
        <v>15041</v>
      </c>
      <c r="L32" s="17" t="s">
        <v>25</v>
      </c>
      <c r="M32" s="17" t="s">
        <v>67</v>
      </c>
      <c r="N32" s="18">
        <v>391334</v>
      </c>
      <c r="O32" s="17">
        <v>44302</v>
      </c>
      <c r="P32" s="17"/>
      <c r="Q32" s="17"/>
      <c r="R32" s="17"/>
    </row>
    <row r="33" spans="2:18" x14ac:dyDescent="0.25">
      <c r="B33" s="41" t="s">
        <v>68</v>
      </c>
      <c r="C33" s="42">
        <v>30207</v>
      </c>
      <c r="D33" s="42">
        <v>30207</v>
      </c>
      <c r="E33" s="42">
        <v>0</v>
      </c>
      <c r="F33" s="42">
        <v>307</v>
      </c>
      <c r="G33" s="42">
        <v>307</v>
      </c>
      <c r="H33" s="42">
        <v>0</v>
      </c>
      <c r="L33" s="17" t="s">
        <v>25</v>
      </c>
      <c r="M33" s="17" t="s">
        <v>69</v>
      </c>
      <c r="N33" s="18">
        <v>267411</v>
      </c>
      <c r="O33" s="18">
        <v>13006</v>
      </c>
      <c r="P33" s="18"/>
      <c r="Q33" s="18"/>
      <c r="R33" s="17"/>
    </row>
    <row r="34" spans="2:18" x14ac:dyDescent="0.25">
      <c r="B34" s="41" t="s">
        <v>70</v>
      </c>
      <c r="C34" s="42">
        <v>585431</v>
      </c>
      <c r="D34" s="42">
        <v>515822</v>
      </c>
      <c r="E34" s="42">
        <v>69609</v>
      </c>
      <c r="F34" s="42">
        <v>23113</v>
      </c>
      <c r="G34" s="42">
        <v>13685</v>
      </c>
      <c r="H34" s="42">
        <v>9428</v>
      </c>
      <c r="L34" s="17" t="s">
        <v>25</v>
      </c>
      <c r="M34" s="17" t="s">
        <v>71</v>
      </c>
      <c r="N34" s="18"/>
      <c r="O34" s="18">
        <v>11889</v>
      </c>
      <c r="P34" s="18">
        <v>13223</v>
      </c>
      <c r="Q34" s="17"/>
      <c r="R34" s="17"/>
    </row>
    <row r="35" spans="2:18" x14ac:dyDescent="0.25">
      <c r="B35" s="41" t="s">
        <v>72</v>
      </c>
      <c r="C35" s="42">
        <v>2285</v>
      </c>
      <c r="D35" s="42">
        <v>2285</v>
      </c>
      <c r="E35" s="42">
        <v>0</v>
      </c>
      <c r="F35" s="42">
        <v>11379</v>
      </c>
      <c r="G35" s="42">
        <v>11379</v>
      </c>
      <c r="H35" s="42">
        <v>0</v>
      </c>
      <c r="L35" s="17" t="s">
        <v>25</v>
      </c>
      <c r="M35" s="17" t="s">
        <v>73</v>
      </c>
      <c r="N35" s="18">
        <v>30821</v>
      </c>
      <c r="O35" s="18">
        <v>190728</v>
      </c>
      <c r="P35" s="18"/>
      <c r="Q35" s="17"/>
      <c r="R35" s="17"/>
    </row>
    <row r="36" spans="2:18" x14ac:dyDescent="0.25">
      <c r="B36" s="41" t="s">
        <v>74</v>
      </c>
      <c r="C36" s="42">
        <v>10720</v>
      </c>
      <c r="D36" s="42">
        <v>10720</v>
      </c>
      <c r="E36" s="42">
        <v>0</v>
      </c>
      <c r="F36" s="42">
        <v>0</v>
      </c>
      <c r="G36" s="42">
        <v>0</v>
      </c>
      <c r="H36" s="42">
        <v>0</v>
      </c>
      <c r="L36" s="17" t="s">
        <v>25</v>
      </c>
      <c r="M36" s="17" t="s">
        <v>75</v>
      </c>
      <c r="N36" s="18">
        <v>310398</v>
      </c>
      <c r="O36" s="18">
        <v>239120</v>
      </c>
      <c r="P36" s="18">
        <v>5790</v>
      </c>
      <c r="Q36" s="18">
        <v>5710</v>
      </c>
      <c r="R36" s="17"/>
    </row>
    <row r="37" spans="2:18" x14ac:dyDescent="0.25">
      <c r="B37" s="41" t="s">
        <v>76</v>
      </c>
      <c r="C37" s="42">
        <v>48884</v>
      </c>
      <c r="D37" s="42">
        <v>48331</v>
      </c>
      <c r="E37" s="42">
        <v>553</v>
      </c>
      <c r="F37" s="42">
        <v>0</v>
      </c>
      <c r="G37" s="42">
        <v>0</v>
      </c>
      <c r="H37" s="42">
        <v>0</v>
      </c>
      <c r="L37" s="16" t="s">
        <v>25</v>
      </c>
      <c r="M37" s="16" t="s">
        <v>4</v>
      </c>
      <c r="N37" s="20">
        <v>1670999</v>
      </c>
      <c r="O37" s="20">
        <v>576313</v>
      </c>
      <c r="P37" s="20">
        <v>33993</v>
      </c>
      <c r="Q37" s="20">
        <v>5710</v>
      </c>
      <c r="R37" s="16"/>
    </row>
    <row r="38" spans="2:18" x14ac:dyDescent="0.25">
      <c r="B38" s="41" t="s">
        <v>77</v>
      </c>
      <c r="C38" s="42">
        <v>475751</v>
      </c>
      <c r="D38" s="42">
        <v>555751</v>
      </c>
      <c r="E38" s="24">
        <v>-80000</v>
      </c>
      <c r="F38" s="42">
        <v>44302</v>
      </c>
      <c r="G38" s="42">
        <v>44302</v>
      </c>
      <c r="H38" s="42">
        <v>0</v>
      </c>
      <c r="L38" s="17" t="s">
        <v>22</v>
      </c>
      <c r="M38" s="17" t="s">
        <v>78</v>
      </c>
      <c r="N38" s="18">
        <v>326249</v>
      </c>
      <c r="O38" s="18">
        <v>95785</v>
      </c>
      <c r="P38" s="18"/>
      <c r="Q38" s="17"/>
      <c r="R38" s="18"/>
    </row>
    <row r="39" spans="2:18" x14ac:dyDescent="0.25">
      <c r="B39" s="41" t="s">
        <v>79</v>
      </c>
      <c r="C39" s="42">
        <v>1403924</v>
      </c>
      <c r="D39" s="42">
        <v>1313451</v>
      </c>
      <c r="E39" s="42">
        <v>90473</v>
      </c>
      <c r="F39" s="42">
        <v>44160</v>
      </c>
      <c r="G39" s="42">
        <v>44160</v>
      </c>
      <c r="H39" s="42">
        <v>0</v>
      </c>
      <c r="L39" s="17" t="s">
        <v>22</v>
      </c>
      <c r="M39" s="17" t="s">
        <v>80</v>
      </c>
      <c r="N39" s="18">
        <v>67011</v>
      </c>
      <c r="O39" s="17">
        <v>282069</v>
      </c>
      <c r="P39" s="17">
        <v>6655</v>
      </c>
      <c r="Q39" s="17"/>
      <c r="R39" s="17"/>
    </row>
    <row r="40" spans="2:18" x14ac:dyDescent="0.25">
      <c r="B40" s="41" t="s">
        <v>81</v>
      </c>
      <c r="C40" s="42">
        <v>2500</v>
      </c>
      <c r="D40" s="42">
        <v>2500</v>
      </c>
      <c r="E40" s="42">
        <v>0</v>
      </c>
      <c r="F40" s="42">
        <v>0</v>
      </c>
      <c r="G40" s="42">
        <v>0</v>
      </c>
      <c r="H40" s="42">
        <v>0</v>
      </c>
      <c r="L40" s="17" t="s">
        <v>22</v>
      </c>
      <c r="M40" s="17" t="s">
        <v>82</v>
      </c>
      <c r="N40" s="18">
        <v>1021277</v>
      </c>
      <c r="O40" s="17">
        <v>1017547</v>
      </c>
      <c r="P40" s="17">
        <v>1341221</v>
      </c>
      <c r="Q40" s="17">
        <v>78387</v>
      </c>
      <c r="R40" s="17"/>
    </row>
    <row r="41" spans="2:18" x14ac:dyDescent="0.25">
      <c r="B41" s="41" t="s">
        <v>83</v>
      </c>
      <c r="C41" s="42">
        <v>0</v>
      </c>
      <c r="D41" s="42">
        <v>0</v>
      </c>
      <c r="E41" s="42">
        <v>0</v>
      </c>
      <c r="F41" s="42">
        <v>11889</v>
      </c>
      <c r="G41" s="42">
        <v>11889</v>
      </c>
      <c r="H41" s="42">
        <v>0</v>
      </c>
      <c r="L41" s="16" t="s">
        <v>22</v>
      </c>
      <c r="M41" s="16" t="s">
        <v>4</v>
      </c>
      <c r="N41" s="20">
        <v>1414537</v>
      </c>
      <c r="O41" s="20">
        <v>1395400</v>
      </c>
      <c r="P41" s="20">
        <v>1347876</v>
      </c>
      <c r="Q41" s="20">
        <v>78387</v>
      </c>
      <c r="R41" s="20"/>
    </row>
    <row r="42" spans="2:18" x14ac:dyDescent="0.25">
      <c r="B42" s="41" t="s">
        <v>84</v>
      </c>
      <c r="C42" s="42">
        <v>55588</v>
      </c>
      <c r="D42" s="42">
        <v>53638</v>
      </c>
      <c r="E42" s="42">
        <v>1950</v>
      </c>
      <c r="F42" s="42">
        <v>7350</v>
      </c>
      <c r="G42" s="42">
        <v>0</v>
      </c>
      <c r="H42" s="42">
        <v>7350</v>
      </c>
      <c r="L42" s="16" t="s">
        <v>4</v>
      </c>
      <c r="M42" s="16" t="s">
        <v>4</v>
      </c>
      <c r="N42" s="20">
        <v>6569317</v>
      </c>
      <c r="O42" s="20">
        <v>2644544</v>
      </c>
      <c r="P42" s="20">
        <v>1808244</v>
      </c>
      <c r="Q42" s="20">
        <v>299098</v>
      </c>
      <c r="R42" s="20">
        <v>1993</v>
      </c>
    </row>
    <row r="43" spans="2:18" x14ac:dyDescent="0.25">
      <c r="B43" s="41" t="s">
        <v>85</v>
      </c>
      <c r="C43" s="42">
        <v>30821</v>
      </c>
      <c r="D43" s="42">
        <v>30821</v>
      </c>
      <c r="E43" s="42">
        <v>0</v>
      </c>
      <c r="F43" s="42">
        <v>190728</v>
      </c>
      <c r="G43" s="42">
        <v>190728</v>
      </c>
      <c r="H43" s="42">
        <v>0</v>
      </c>
    </row>
    <row r="44" spans="2:18" x14ac:dyDescent="0.25">
      <c r="B44" s="41" t="s">
        <v>86</v>
      </c>
      <c r="C44" s="42">
        <v>53962</v>
      </c>
      <c r="D44" s="42">
        <v>38198</v>
      </c>
      <c r="E44" s="42">
        <v>15764</v>
      </c>
      <c r="F44" s="42">
        <v>7943</v>
      </c>
      <c r="G44" s="42">
        <v>7943</v>
      </c>
      <c r="H44" s="42">
        <v>0</v>
      </c>
    </row>
    <row r="45" spans="2:18" ht="18" customHeight="1" x14ac:dyDescent="0.25">
      <c r="B45" s="41" t="s">
        <v>87</v>
      </c>
      <c r="C45" s="42">
        <v>545673</v>
      </c>
      <c r="D45" s="42">
        <v>545669</v>
      </c>
      <c r="E45" s="42">
        <v>4</v>
      </c>
      <c r="F45" s="42">
        <v>669047</v>
      </c>
      <c r="G45" s="42">
        <v>669720</v>
      </c>
      <c r="H45" s="24">
        <v>-673</v>
      </c>
    </row>
    <row r="46" spans="2:18" x14ac:dyDescent="0.25">
      <c r="B46" s="41" t="s">
        <v>88</v>
      </c>
      <c r="C46" s="42">
        <v>96589</v>
      </c>
      <c r="D46" s="42">
        <v>96589</v>
      </c>
      <c r="E46" s="42">
        <v>0</v>
      </c>
      <c r="F46" s="42">
        <v>24323</v>
      </c>
      <c r="G46" s="42">
        <v>24323</v>
      </c>
      <c r="H46" s="42">
        <v>0</v>
      </c>
    </row>
    <row r="47" spans="2:18" x14ac:dyDescent="0.25">
      <c r="B47" s="41" t="s">
        <v>89</v>
      </c>
      <c r="C47" s="42">
        <v>4472</v>
      </c>
      <c r="D47" s="42">
        <v>4472</v>
      </c>
      <c r="E47" s="42">
        <v>0</v>
      </c>
      <c r="F47" s="42">
        <v>15969</v>
      </c>
      <c r="G47" s="42">
        <v>15969</v>
      </c>
      <c r="H47" s="42">
        <v>0</v>
      </c>
    </row>
    <row r="48" spans="2:18" x14ac:dyDescent="0.25">
      <c r="B48" s="41" t="s">
        <v>90</v>
      </c>
      <c r="C48" s="42">
        <v>1025572</v>
      </c>
      <c r="D48" s="42">
        <v>1025571</v>
      </c>
      <c r="E48" s="42">
        <v>1</v>
      </c>
      <c r="F48" s="42">
        <v>1032250</v>
      </c>
      <c r="G48" s="42">
        <v>1032250</v>
      </c>
      <c r="H48" s="42">
        <v>0</v>
      </c>
    </row>
    <row r="49" spans="1:18" x14ac:dyDescent="0.25">
      <c r="B49" s="41" t="s">
        <v>91</v>
      </c>
      <c r="C49" s="42">
        <v>9112</v>
      </c>
      <c r="D49" s="42">
        <v>12238</v>
      </c>
      <c r="E49" s="24">
        <v>-3126</v>
      </c>
      <c r="F49" s="42">
        <v>0</v>
      </c>
      <c r="G49" s="42">
        <v>0</v>
      </c>
      <c r="H49" s="42">
        <v>0</v>
      </c>
    </row>
    <row r="50" spans="1:18" x14ac:dyDescent="0.25">
      <c r="B50" s="40" t="s">
        <v>4</v>
      </c>
      <c r="C50" s="43">
        <v>6569317</v>
      </c>
      <c r="D50" s="43">
        <v>6456328</v>
      </c>
      <c r="E50" s="43">
        <v>112990</v>
      </c>
      <c r="F50" s="43">
        <v>2644544</v>
      </c>
      <c r="G50" s="43">
        <v>2613011</v>
      </c>
      <c r="H50" s="43">
        <v>31534</v>
      </c>
      <c r="L50" s="25"/>
      <c r="M50" s="25"/>
      <c r="N50" s="25"/>
      <c r="O50" s="25"/>
      <c r="P50" s="25"/>
      <c r="Q50" s="25"/>
      <c r="R50" s="25"/>
    </row>
    <row r="51" spans="1:18" x14ac:dyDescent="0.25">
      <c r="L51" s="25"/>
      <c r="M51" s="25"/>
      <c r="N51" s="25"/>
      <c r="O51" s="25"/>
      <c r="P51" s="25"/>
      <c r="Q51" s="25"/>
      <c r="R51" s="25"/>
    </row>
    <row r="52" spans="1:18" ht="18" x14ac:dyDescent="0.25">
      <c r="L52" s="25"/>
      <c r="M52" s="26" t="s">
        <v>92</v>
      </c>
      <c r="N52" s="25"/>
      <c r="O52" s="25"/>
      <c r="P52" s="25"/>
      <c r="Q52" s="25"/>
      <c r="R52" s="25"/>
    </row>
    <row r="53" spans="1:18" x14ac:dyDescent="0.25">
      <c r="B53" s="25"/>
      <c r="C53" s="25"/>
      <c r="D53" s="25"/>
      <c r="E53" s="25"/>
      <c r="F53" s="25"/>
      <c r="G53" s="25"/>
      <c r="H53" s="25"/>
      <c r="L53" s="25"/>
      <c r="M53" s="27" t="s">
        <v>93</v>
      </c>
      <c r="N53" s="27" t="s">
        <v>94</v>
      </c>
      <c r="O53" s="27" t="s">
        <v>7</v>
      </c>
      <c r="P53" s="27" t="s">
        <v>8</v>
      </c>
      <c r="Q53" s="27" t="s">
        <v>9</v>
      </c>
      <c r="R53" s="25"/>
    </row>
    <row r="54" spans="1:18" x14ac:dyDescent="0.25">
      <c r="B54" s="25"/>
      <c r="C54" s="25"/>
      <c r="D54" s="25"/>
      <c r="E54" s="25"/>
      <c r="F54" s="25"/>
      <c r="G54" s="25"/>
      <c r="H54" s="25"/>
      <c r="L54" s="25"/>
      <c r="M54" s="28" t="s">
        <v>79</v>
      </c>
      <c r="N54" s="28">
        <v>3000</v>
      </c>
      <c r="O54" s="28">
        <v>17604</v>
      </c>
      <c r="P54" s="28">
        <v>2396</v>
      </c>
      <c r="Q54" s="28">
        <v>0</v>
      </c>
      <c r="R54" s="25"/>
    </row>
    <row r="55" spans="1:18" x14ac:dyDescent="0.25">
      <c r="B55" s="25"/>
      <c r="C55" s="25"/>
      <c r="D55" s="25"/>
      <c r="E55" s="25"/>
      <c r="F55" s="25"/>
      <c r="G55" s="25"/>
      <c r="H55" s="25"/>
      <c r="L55" s="25"/>
      <c r="M55" s="28" t="s">
        <v>90</v>
      </c>
      <c r="N55" s="28">
        <v>4000</v>
      </c>
      <c r="O55" s="28">
        <v>1000188</v>
      </c>
      <c r="P55" s="28">
        <v>1015205</v>
      </c>
      <c r="Q55" s="28">
        <v>1341221</v>
      </c>
      <c r="R55" s="25"/>
    </row>
    <row r="56" spans="1:18" x14ac:dyDescent="0.25">
      <c r="L56" s="25"/>
      <c r="M56" s="27" t="s">
        <v>4</v>
      </c>
      <c r="N56" s="27">
        <v>7000</v>
      </c>
      <c r="O56" s="27">
        <v>1017791</v>
      </c>
      <c r="P56" s="27">
        <v>1017601</v>
      </c>
      <c r="Q56" s="27">
        <v>1341221</v>
      </c>
      <c r="R56" s="25"/>
    </row>
    <row r="57" spans="1:18" x14ac:dyDescent="0.25">
      <c r="L57" s="25"/>
      <c r="M57" s="25"/>
      <c r="N57" s="25"/>
      <c r="O57" s="25"/>
      <c r="P57" s="25"/>
      <c r="Q57" s="25"/>
      <c r="R57" s="25"/>
    </row>
    <row r="58" spans="1:18" x14ac:dyDescent="0.25">
      <c r="L58" s="25"/>
      <c r="M58" s="25"/>
      <c r="N58" s="25"/>
      <c r="O58" s="25"/>
      <c r="P58" s="25"/>
      <c r="Q58" s="25"/>
      <c r="R58" s="25"/>
    </row>
    <row r="59" spans="1:18" s="46" customFormat="1" ht="42.75" x14ac:dyDescent="0.25">
      <c r="A59" s="44" t="s">
        <v>3</v>
      </c>
      <c r="B59" s="44" t="s">
        <v>95</v>
      </c>
      <c r="C59" s="45" t="s">
        <v>117</v>
      </c>
      <c r="D59" s="44" t="s">
        <v>96</v>
      </c>
      <c r="L59" s="47"/>
      <c r="M59" s="47"/>
      <c r="N59" s="47"/>
      <c r="O59" s="47"/>
      <c r="P59" s="47"/>
      <c r="Q59" s="47"/>
      <c r="R59" s="47"/>
    </row>
    <row r="60" spans="1:18" x14ac:dyDescent="0.25">
      <c r="A60" s="5" t="s">
        <v>16</v>
      </c>
      <c r="B60" s="5">
        <v>1340</v>
      </c>
      <c r="C60" s="5">
        <f>(B60/20)*$E$13</f>
        <v>1675</v>
      </c>
      <c r="D60" s="5">
        <f t="shared" ref="D60:D67" si="2">B60*$I$13/20</f>
        <v>1742</v>
      </c>
      <c r="L60" s="25"/>
      <c r="M60" s="25"/>
      <c r="N60" s="25"/>
      <c r="O60" s="25"/>
      <c r="P60" s="25"/>
      <c r="Q60" s="25"/>
      <c r="R60" s="25"/>
    </row>
    <row r="61" spans="1:18" x14ac:dyDescent="0.25">
      <c r="A61" s="5" t="s">
        <v>19</v>
      </c>
      <c r="B61" s="5">
        <v>608</v>
      </c>
      <c r="C61" s="5">
        <f t="shared" ref="C61:C67" si="3">(B61/20)*$E$13</f>
        <v>760</v>
      </c>
      <c r="D61" s="5">
        <f t="shared" si="2"/>
        <v>790.4</v>
      </c>
      <c r="L61" s="25"/>
      <c r="M61" s="25"/>
      <c r="N61" s="25"/>
      <c r="O61" s="25"/>
      <c r="P61" s="25"/>
      <c r="Q61" s="25"/>
      <c r="R61" s="25"/>
    </row>
    <row r="62" spans="1:18" x14ac:dyDescent="0.25">
      <c r="A62" s="5" t="s">
        <v>21</v>
      </c>
      <c r="B62" s="5">
        <v>1521</v>
      </c>
      <c r="C62" s="5">
        <f t="shared" si="3"/>
        <v>1901.25</v>
      </c>
      <c r="D62" s="5">
        <f t="shared" si="2"/>
        <v>1977.3</v>
      </c>
      <c r="L62" s="25"/>
      <c r="M62" s="25"/>
      <c r="N62" s="25"/>
      <c r="O62" s="25"/>
      <c r="P62" s="25"/>
      <c r="Q62" s="25"/>
      <c r="R62" s="25"/>
    </row>
    <row r="63" spans="1:18" x14ac:dyDescent="0.25">
      <c r="A63" s="5" t="s">
        <v>22</v>
      </c>
      <c r="B63" s="5">
        <v>1252</v>
      </c>
      <c r="C63" s="5">
        <f t="shared" si="3"/>
        <v>1565</v>
      </c>
      <c r="D63" s="5">
        <f t="shared" si="2"/>
        <v>1627.6</v>
      </c>
      <c r="L63" s="25"/>
      <c r="M63" s="25"/>
      <c r="N63" s="25"/>
      <c r="O63" s="25"/>
      <c r="P63" s="25"/>
      <c r="Q63" s="25"/>
      <c r="R63" s="25"/>
    </row>
    <row r="64" spans="1:18" x14ac:dyDescent="0.25">
      <c r="A64" s="5" t="s">
        <v>14</v>
      </c>
      <c r="B64" s="5">
        <v>1210</v>
      </c>
      <c r="C64" s="5">
        <f t="shared" si="3"/>
        <v>1512.5</v>
      </c>
      <c r="D64" s="5">
        <f t="shared" si="2"/>
        <v>1573</v>
      </c>
      <c r="L64" s="25"/>
      <c r="M64" s="25"/>
      <c r="N64" s="25"/>
      <c r="O64" s="25"/>
      <c r="P64" s="25"/>
      <c r="Q64" s="25"/>
      <c r="R64" s="25"/>
    </row>
    <row r="65" spans="1:18" x14ac:dyDescent="0.25">
      <c r="A65" s="5" t="s">
        <v>97</v>
      </c>
      <c r="B65" s="5">
        <v>2160</v>
      </c>
      <c r="C65" s="5">
        <f t="shared" si="3"/>
        <v>2700</v>
      </c>
      <c r="D65" s="5">
        <f t="shared" si="2"/>
        <v>2808</v>
      </c>
      <c r="L65" s="25"/>
      <c r="M65" s="25"/>
      <c r="N65" s="25"/>
      <c r="O65" s="25"/>
      <c r="P65" s="25"/>
      <c r="Q65" s="25"/>
      <c r="R65" s="25"/>
    </row>
    <row r="66" spans="1:18" x14ac:dyDescent="0.25">
      <c r="A66" s="5" t="s">
        <v>27</v>
      </c>
      <c r="B66" s="5">
        <v>792</v>
      </c>
      <c r="C66" s="5">
        <f t="shared" si="3"/>
        <v>990</v>
      </c>
      <c r="D66" s="5">
        <f t="shared" si="2"/>
        <v>1029.5999999999999</v>
      </c>
      <c r="L66" s="25"/>
      <c r="M66" s="25"/>
      <c r="N66" s="25"/>
      <c r="O66" s="25"/>
      <c r="P66" s="25"/>
      <c r="Q66" s="25"/>
      <c r="R66" s="25"/>
    </row>
    <row r="67" spans="1:18" x14ac:dyDescent="0.25">
      <c r="A67" s="5" t="s">
        <v>98</v>
      </c>
      <c r="B67" s="5">
        <v>8883</v>
      </c>
      <c r="C67" s="5">
        <f t="shared" si="3"/>
        <v>11103.75</v>
      </c>
      <c r="D67" s="5">
        <f t="shared" si="2"/>
        <v>11547.9</v>
      </c>
      <c r="L67" s="25"/>
      <c r="M67" s="25"/>
      <c r="N67" s="25"/>
      <c r="O67" s="25"/>
      <c r="P67" s="25"/>
      <c r="Q67" s="25"/>
      <c r="R67" s="25"/>
    </row>
    <row r="68" spans="1:18" x14ac:dyDescent="0.25">
      <c r="L68" s="25"/>
      <c r="M68" s="25"/>
      <c r="N68" s="25"/>
      <c r="O68" s="25"/>
      <c r="P68" s="25"/>
      <c r="Q68" s="25"/>
      <c r="R68" s="25"/>
    </row>
    <row r="69" spans="1:18" x14ac:dyDescent="0.25">
      <c r="C69" s="9"/>
      <c r="D69" s="9"/>
      <c r="L69" s="25"/>
      <c r="M69" s="25"/>
      <c r="N69" s="25"/>
      <c r="O69" s="25"/>
      <c r="P69" s="25"/>
      <c r="Q69" s="25"/>
      <c r="R69" s="25"/>
    </row>
    <row r="70" spans="1:18" x14ac:dyDescent="0.25">
      <c r="L70" s="25"/>
      <c r="M70" s="25"/>
      <c r="N70" s="25"/>
      <c r="O70" s="25"/>
      <c r="P70" s="25"/>
      <c r="Q70" s="25"/>
      <c r="R70" s="25"/>
    </row>
    <row r="71" spans="1:18" x14ac:dyDescent="0.25">
      <c r="L71" s="25"/>
      <c r="M71" s="25"/>
      <c r="N71" s="25"/>
      <c r="O71" s="25"/>
      <c r="P71" s="25"/>
      <c r="Q71" s="25"/>
      <c r="R71" s="25"/>
    </row>
    <row r="72" spans="1:18" x14ac:dyDescent="0.25">
      <c r="L72" s="25"/>
      <c r="M72" s="25"/>
      <c r="N72" s="25"/>
      <c r="O72" s="25"/>
      <c r="P72" s="25"/>
      <c r="Q72" s="25"/>
      <c r="R72" s="25"/>
    </row>
  </sheetData>
  <mergeCells count="10">
    <mergeCell ref="A1:J1"/>
    <mergeCell ref="C3:F3"/>
    <mergeCell ref="G3:J3"/>
    <mergeCell ref="B3:B4"/>
    <mergeCell ref="A3:A4"/>
    <mergeCell ref="A13:B13"/>
    <mergeCell ref="E13:F13"/>
    <mergeCell ref="C13:D13"/>
    <mergeCell ref="I13:J13"/>
    <mergeCell ref="G13:H13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I12" sqref="I12"/>
    </sheetView>
  </sheetViews>
  <sheetFormatPr defaultRowHeight="15" x14ac:dyDescent="0.25"/>
  <sheetData>
    <row r="1" spans="1:8" x14ac:dyDescent="0.25">
      <c r="A1" s="29" t="s">
        <v>3</v>
      </c>
      <c r="B1" s="29" t="s">
        <v>4</v>
      </c>
      <c r="C1" s="29" t="s">
        <v>99</v>
      </c>
      <c r="D1" s="29" t="s">
        <v>100</v>
      </c>
      <c r="E1" s="29" t="s">
        <v>101</v>
      </c>
      <c r="F1" s="29" t="s">
        <v>102</v>
      </c>
      <c r="G1" s="29" t="s">
        <v>103</v>
      </c>
      <c r="H1" s="29" t="s">
        <v>59</v>
      </c>
    </row>
    <row r="2" spans="1:8" x14ac:dyDescent="0.25">
      <c r="A2" s="30" t="s">
        <v>16</v>
      </c>
      <c r="B2" s="30" t="s">
        <v>17</v>
      </c>
      <c r="C2" s="30">
        <v>456</v>
      </c>
      <c r="D2" s="30">
        <v>742</v>
      </c>
      <c r="E2" s="30">
        <v>286</v>
      </c>
      <c r="F2" s="30">
        <v>1346</v>
      </c>
      <c r="G2" s="30">
        <v>1420</v>
      </c>
      <c r="H2" s="30">
        <v>74</v>
      </c>
    </row>
    <row r="3" spans="1:8" x14ac:dyDescent="0.25">
      <c r="A3" s="30" t="s">
        <v>19</v>
      </c>
      <c r="B3" s="30" t="s">
        <v>17</v>
      </c>
      <c r="C3" s="30">
        <v>32</v>
      </c>
      <c r="D3" s="30">
        <v>34</v>
      </c>
      <c r="E3" s="30">
        <v>2</v>
      </c>
      <c r="F3" s="30">
        <v>406</v>
      </c>
      <c r="G3" s="30">
        <v>446</v>
      </c>
      <c r="H3" s="30">
        <v>40</v>
      </c>
    </row>
    <row r="4" spans="1:8" x14ac:dyDescent="0.25">
      <c r="A4" s="30" t="s">
        <v>21</v>
      </c>
      <c r="B4" s="30" t="s">
        <v>17</v>
      </c>
      <c r="C4" s="30">
        <v>655</v>
      </c>
      <c r="D4" s="30">
        <v>702</v>
      </c>
      <c r="E4" s="30">
        <v>47</v>
      </c>
      <c r="F4" s="30">
        <v>976</v>
      </c>
      <c r="G4" s="30">
        <v>1195</v>
      </c>
      <c r="H4" s="30">
        <v>219</v>
      </c>
    </row>
    <row r="5" spans="1:8" x14ac:dyDescent="0.25">
      <c r="A5" s="30" t="s">
        <v>22</v>
      </c>
      <c r="B5" s="30" t="s">
        <v>17</v>
      </c>
      <c r="C5" s="30">
        <v>-302</v>
      </c>
      <c r="D5" s="30">
        <v>-409</v>
      </c>
      <c r="E5" s="30">
        <v>-107</v>
      </c>
      <c r="F5" s="30">
        <v>-452</v>
      </c>
      <c r="G5" s="30">
        <v>-438</v>
      </c>
      <c r="H5" s="30">
        <v>14</v>
      </c>
    </row>
    <row r="6" spans="1:8" x14ac:dyDescent="0.25">
      <c r="A6" s="30" t="s">
        <v>14</v>
      </c>
      <c r="B6" s="30" t="s">
        <v>17</v>
      </c>
      <c r="C6" s="30">
        <v>448</v>
      </c>
      <c r="D6" s="30">
        <v>539</v>
      </c>
      <c r="E6" s="30">
        <v>91</v>
      </c>
      <c r="F6" s="30">
        <v>1299</v>
      </c>
      <c r="G6" s="30">
        <v>1378</v>
      </c>
      <c r="H6" s="30">
        <v>79</v>
      </c>
    </row>
    <row r="7" spans="1:8" x14ac:dyDescent="0.25">
      <c r="A7" s="30" t="s">
        <v>25</v>
      </c>
      <c r="B7" s="30" t="s">
        <v>17</v>
      </c>
      <c r="C7" s="30">
        <v>1047</v>
      </c>
      <c r="D7" s="30">
        <v>1231</v>
      </c>
      <c r="E7" s="30">
        <v>184</v>
      </c>
      <c r="F7" s="30">
        <v>1679</v>
      </c>
      <c r="G7" s="30">
        <v>1860</v>
      </c>
      <c r="H7" s="30">
        <v>181</v>
      </c>
    </row>
    <row r="8" spans="1:8" x14ac:dyDescent="0.25">
      <c r="A8" s="30" t="s">
        <v>27</v>
      </c>
      <c r="B8" s="30" t="s">
        <v>17</v>
      </c>
      <c r="C8" s="30">
        <v>1031</v>
      </c>
      <c r="D8" s="30">
        <v>1031</v>
      </c>
      <c r="E8" s="30">
        <v>0</v>
      </c>
      <c r="F8" s="30">
        <v>833</v>
      </c>
      <c r="G8" s="30">
        <v>872</v>
      </c>
      <c r="H8" s="30">
        <v>39</v>
      </c>
    </row>
    <row r="9" spans="1:8" x14ac:dyDescent="0.25">
      <c r="A9" s="30" t="s">
        <v>4</v>
      </c>
      <c r="B9" s="30" t="s">
        <v>17</v>
      </c>
      <c r="C9" s="30">
        <v>3367</v>
      </c>
      <c r="D9" s="30">
        <v>3870</v>
      </c>
      <c r="E9" s="30">
        <v>503</v>
      </c>
      <c r="F9" s="30">
        <v>6087</v>
      </c>
      <c r="G9" s="30">
        <v>6734</v>
      </c>
      <c r="H9" s="30">
        <v>647</v>
      </c>
    </row>
    <row r="10" spans="1:8" x14ac:dyDescent="0.25">
      <c r="A10" s="30"/>
      <c r="B10" s="30"/>
      <c r="C10" s="30" t="s">
        <v>104</v>
      </c>
      <c r="D10" s="30">
        <v>11336</v>
      </c>
      <c r="E10" s="30" t="s">
        <v>105</v>
      </c>
      <c r="F10" s="30" t="s">
        <v>106</v>
      </c>
      <c r="G10" s="30">
        <v>9592</v>
      </c>
      <c r="H10" s="30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/>
  </sheetViews>
  <sheetFormatPr defaultRowHeight="15" x14ac:dyDescent="0.25"/>
  <sheetData>
    <row r="1" spans="1:10" x14ac:dyDescent="0.25">
      <c r="A1" s="29" t="s">
        <v>3</v>
      </c>
      <c r="B1" s="29" t="s">
        <v>4</v>
      </c>
      <c r="C1" s="29" t="s">
        <v>108</v>
      </c>
      <c r="D1" s="29" t="s">
        <v>109</v>
      </c>
      <c r="E1" s="29" t="s">
        <v>110</v>
      </c>
      <c r="F1" s="29" t="s">
        <v>111</v>
      </c>
      <c r="G1" s="29" t="s">
        <v>36</v>
      </c>
      <c r="H1" s="29" t="s">
        <v>37</v>
      </c>
      <c r="I1" s="29" t="s">
        <v>38</v>
      </c>
      <c r="J1" s="29" t="s">
        <v>39</v>
      </c>
    </row>
    <row r="2" spans="1:10" x14ac:dyDescent="0.25">
      <c r="A2" s="30" t="s">
        <v>16</v>
      </c>
      <c r="B2" s="30" t="s">
        <v>17</v>
      </c>
      <c r="C2" s="30">
        <v>-48</v>
      </c>
      <c r="D2" s="30">
        <v>-31</v>
      </c>
      <c r="E2" s="30">
        <v>24</v>
      </c>
      <c r="F2" s="30">
        <v>196</v>
      </c>
      <c r="G2" s="30">
        <v>344</v>
      </c>
      <c r="H2" s="30">
        <v>329</v>
      </c>
      <c r="I2" s="30">
        <v>328</v>
      </c>
      <c r="J2" s="30">
        <v>313</v>
      </c>
    </row>
    <row r="3" spans="1:10" x14ac:dyDescent="0.25">
      <c r="A3" s="30" t="s">
        <v>19</v>
      </c>
      <c r="B3" s="30" t="s">
        <v>17</v>
      </c>
      <c r="C3" s="30">
        <v>16</v>
      </c>
      <c r="D3" s="30">
        <v>10</v>
      </c>
      <c r="E3" s="30">
        <v>7</v>
      </c>
      <c r="F3" s="30">
        <v>-1</v>
      </c>
      <c r="G3" s="30">
        <v>9</v>
      </c>
      <c r="H3" s="30">
        <v>93</v>
      </c>
      <c r="I3" s="30">
        <v>100</v>
      </c>
      <c r="J3" s="30">
        <v>110</v>
      </c>
    </row>
    <row r="4" spans="1:10" x14ac:dyDescent="0.25">
      <c r="A4" s="30" t="s">
        <v>21</v>
      </c>
      <c r="B4" s="30" t="s">
        <v>17</v>
      </c>
      <c r="C4" s="30">
        <v>-46</v>
      </c>
      <c r="D4" s="30">
        <v>79</v>
      </c>
      <c r="E4" s="30">
        <v>195</v>
      </c>
      <c r="F4" s="30">
        <v>226</v>
      </c>
      <c r="G4" s="30">
        <v>190</v>
      </c>
      <c r="H4" s="30">
        <v>137</v>
      </c>
      <c r="I4" s="30">
        <v>174</v>
      </c>
      <c r="J4" s="30">
        <v>296</v>
      </c>
    </row>
    <row r="5" spans="1:10" x14ac:dyDescent="0.25">
      <c r="A5" s="30" t="s">
        <v>22</v>
      </c>
      <c r="B5" s="30" t="s">
        <v>17</v>
      </c>
      <c r="C5" s="30">
        <v>23</v>
      </c>
      <c r="D5" s="30">
        <v>-83</v>
      </c>
      <c r="E5" s="30">
        <v>-70</v>
      </c>
      <c r="F5" s="30">
        <v>-68</v>
      </c>
      <c r="G5" s="30">
        <v>-91</v>
      </c>
      <c r="H5" s="30">
        <v>-153</v>
      </c>
      <c r="I5" s="30">
        <v>-122</v>
      </c>
      <c r="J5" s="30">
        <v>-98</v>
      </c>
    </row>
    <row r="6" spans="1:10" x14ac:dyDescent="0.25">
      <c r="A6" s="30" t="s">
        <v>14</v>
      </c>
      <c r="B6" s="30" t="s">
        <v>17</v>
      </c>
      <c r="C6" s="30">
        <v>-98</v>
      </c>
      <c r="D6" s="30">
        <v>-78</v>
      </c>
      <c r="E6" s="30">
        <v>92</v>
      </c>
      <c r="F6" s="30">
        <v>245</v>
      </c>
      <c r="G6" s="30">
        <v>306</v>
      </c>
      <c r="H6" s="30">
        <v>291</v>
      </c>
      <c r="I6" s="30">
        <v>312</v>
      </c>
      <c r="J6" s="30">
        <v>320</v>
      </c>
    </row>
    <row r="7" spans="1:10" x14ac:dyDescent="0.25">
      <c r="A7" s="30" t="s">
        <v>25</v>
      </c>
      <c r="B7" s="30" t="s">
        <v>17</v>
      </c>
      <c r="C7" s="30">
        <v>218</v>
      </c>
      <c r="D7" s="30">
        <v>332</v>
      </c>
      <c r="E7" s="30">
        <v>186</v>
      </c>
      <c r="F7" s="30">
        <v>146</v>
      </c>
      <c r="G7" s="30">
        <v>236</v>
      </c>
      <c r="H7" s="30">
        <v>272</v>
      </c>
      <c r="I7" s="30">
        <v>421</v>
      </c>
      <c r="J7" s="30">
        <v>480</v>
      </c>
    </row>
    <row r="8" spans="1:10" x14ac:dyDescent="0.25">
      <c r="A8" s="30" t="s">
        <v>27</v>
      </c>
      <c r="B8" s="30" t="s">
        <v>17</v>
      </c>
      <c r="C8" s="30">
        <v>238</v>
      </c>
      <c r="D8" s="30">
        <v>238</v>
      </c>
      <c r="E8" s="30">
        <v>238</v>
      </c>
      <c r="F8" s="30">
        <v>238</v>
      </c>
      <c r="G8" s="30">
        <v>238</v>
      </c>
      <c r="H8" s="30">
        <v>198</v>
      </c>
      <c r="I8" s="30">
        <v>198</v>
      </c>
      <c r="J8" s="30">
        <v>198</v>
      </c>
    </row>
    <row r="9" spans="1:10" x14ac:dyDescent="0.25">
      <c r="A9" s="30" t="s">
        <v>4</v>
      </c>
      <c r="B9" s="30" t="s">
        <v>17</v>
      </c>
      <c r="C9" s="30">
        <v>303</v>
      </c>
      <c r="D9" s="30">
        <v>467</v>
      </c>
      <c r="E9" s="30">
        <v>671</v>
      </c>
      <c r="F9" s="30">
        <v>981</v>
      </c>
      <c r="G9" s="30">
        <v>1230</v>
      </c>
      <c r="H9" s="30">
        <v>1168</v>
      </c>
      <c r="I9" s="30">
        <v>1411</v>
      </c>
      <c r="J9" s="30">
        <v>1619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/>
  </sheetViews>
  <sheetFormatPr defaultRowHeight="15" x14ac:dyDescent="0.25"/>
  <sheetData>
    <row r="1" spans="1:7" x14ac:dyDescent="0.25">
      <c r="A1" s="31" t="s">
        <v>56</v>
      </c>
      <c r="B1" s="31" t="s">
        <v>57</v>
      </c>
      <c r="C1" s="31" t="s">
        <v>58</v>
      </c>
      <c r="D1" s="31" t="s">
        <v>59</v>
      </c>
      <c r="E1" s="31" t="s">
        <v>60</v>
      </c>
      <c r="F1" s="31" t="s">
        <v>61</v>
      </c>
      <c r="G1" s="31" t="s">
        <v>62</v>
      </c>
    </row>
    <row r="2" spans="1:7" x14ac:dyDescent="0.25">
      <c r="A2" s="17" t="s">
        <v>64</v>
      </c>
      <c r="B2" s="18">
        <v>2039358</v>
      </c>
      <c r="C2" s="18">
        <v>2049066</v>
      </c>
      <c r="D2" s="18">
        <v>-9708</v>
      </c>
      <c r="E2" s="18">
        <v>485782</v>
      </c>
      <c r="F2" s="18">
        <v>485394</v>
      </c>
      <c r="G2" s="18">
        <v>388</v>
      </c>
    </row>
    <row r="3" spans="1:7" x14ac:dyDescent="0.25">
      <c r="A3" s="17" t="s">
        <v>66</v>
      </c>
      <c r="B3" s="18">
        <v>148470</v>
      </c>
      <c r="C3" s="18">
        <v>121000</v>
      </c>
      <c r="D3" s="18">
        <v>27470</v>
      </c>
      <c r="E3" s="18">
        <v>76003</v>
      </c>
      <c r="F3" s="18">
        <v>60962</v>
      </c>
      <c r="G3" s="18">
        <v>15041</v>
      </c>
    </row>
    <row r="4" spans="1:7" x14ac:dyDescent="0.25">
      <c r="A4" s="17" t="s">
        <v>68</v>
      </c>
      <c r="B4" s="18">
        <v>30207</v>
      </c>
      <c r="C4" s="18">
        <v>30207</v>
      </c>
      <c r="D4" s="18">
        <v>0</v>
      </c>
      <c r="E4" s="18">
        <v>307</v>
      </c>
      <c r="F4" s="18">
        <v>307</v>
      </c>
      <c r="G4" s="18">
        <v>0</v>
      </c>
    </row>
    <row r="5" spans="1:7" x14ac:dyDescent="0.25">
      <c r="A5" s="17" t="s">
        <v>70</v>
      </c>
      <c r="B5" s="18">
        <v>585431</v>
      </c>
      <c r="C5" s="18">
        <v>515822</v>
      </c>
      <c r="D5" s="18">
        <v>69609</v>
      </c>
      <c r="E5" s="18">
        <v>23113</v>
      </c>
      <c r="F5" s="18">
        <v>13685</v>
      </c>
      <c r="G5" s="18">
        <v>9428</v>
      </c>
    </row>
    <row r="6" spans="1:7" x14ac:dyDescent="0.25">
      <c r="A6" s="17" t="s">
        <v>72</v>
      </c>
      <c r="B6" s="18">
        <v>2285</v>
      </c>
      <c r="C6" s="18">
        <v>2285</v>
      </c>
      <c r="D6" s="18">
        <v>0</v>
      </c>
      <c r="E6" s="18">
        <v>11379</v>
      </c>
      <c r="F6" s="18">
        <v>11379</v>
      </c>
      <c r="G6" s="18">
        <v>0</v>
      </c>
    </row>
    <row r="7" spans="1:7" x14ac:dyDescent="0.25">
      <c r="A7" s="17" t="s">
        <v>74</v>
      </c>
      <c r="B7" s="18">
        <v>10720</v>
      </c>
      <c r="C7" s="18">
        <v>10720</v>
      </c>
      <c r="D7" s="18">
        <v>0</v>
      </c>
      <c r="E7" s="18">
        <v>0</v>
      </c>
      <c r="F7" s="18">
        <v>0</v>
      </c>
      <c r="G7" s="18">
        <v>0</v>
      </c>
    </row>
    <row r="8" spans="1:7" x14ac:dyDescent="0.25">
      <c r="A8" s="17" t="s">
        <v>76</v>
      </c>
      <c r="B8" s="18">
        <v>48884</v>
      </c>
      <c r="C8" s="18">
        <v>48331</v>
      </c>
      <c r="D8" s="18">
        <v>553</v>
      </c>
      <c r="E8" s="18">
        <v>0</v>
      </c>
      <c r="F8" s="18">
        <v>0</v>
      </c>
      <c r="G8" s="18">
        <v>0</v>
      </c>
    </row>
    <row r="9" spans="1:7" x14ac:dyDescent="0.25">
      <c r="A9" s="17" t="s">
        <v>77</v>
      </c>
      <c r="B9" s="18">
        <v>475751</v>
      </c>
      <c r="C9" s="18">
        <v>555751</v>
      </c>
      <c r="D9" s="18">
        <v>-80000</v>
      </c>
      <c r="E9" s="18">
        <v>44302</v>
      </c>
      <c r="F9" s="18">
        <v>44302</v>
      </c>
      <c r="G9" s="18">
        <v>0</v>
      </c>
    </row>
    <row r="10" spans="1:7" x14ac:dyDescent="0.25">
      <c r="A10" s="17" t="s">
        <v>79</v>
      </c>
      <c r="B10" s="18">
        <v>1403924</v>
      </c>
      <c r="C10" s="18">
        <v>1313451</v>
      </c>
      <c r="D10" s="18">
        <v>90473</v>
      </c>
      <c r="E10" s="18">
        <v>44160</v>
      </c>
      <c r="F10" s="18">
        <v>44160</v>
      </c>
      <c r="G10" s="18">
        <v>0</v>
      </c>
    </row>
    <row r="11" spans="1:7" x14ac:dyDescent="0.25">
      <c r="A11" s="17" t="s">
        <v>81</v>
      </c>
      <c r="B11" s="18">
        <v>2500</v>
      </c>
      <c r="C11" s="18">
        <v>2500</v>
      </c>
      <c r="D11" s="18">
        <v>0</v>
      </c>
      <c r="E11" s="18">
        <v>0</v>
      </c>
      <c r="F11" s="18">
        <v>0</v>
      </c>
      <c r="G11" s="18">
        <v>0</v>
      </c>
    </row>
    <row r="12" spans="1:7" x14ac:dyDescent="0.25">
      <c r="A12" s="17" t="s">
        <v>83</v>
      </c>
      <c r="B12" s="18">
        <v>0</v>
      </c>
      <c r="C12" s="18">
        <v>0</v>
      </c>
      <c r="D12" s="18">
        <v>0</v>
      </c>
      <c r="E12" s="18">
        <v>11889</v>
      </c>
      <c r="F12" s="18">
        <v>11889</v>
      </c>
      <c r="G12" s="18">
        <v>0</v>
      </c>
    </row>
    <row r="13" spans="1:7" x14ac:dyDescent="0.25">
      <c r="A13" s="17" t="s">
        <v>84</v>
      </c>
      <c r="B13" s="18">
        <v>55588</v>
      </c>
      <c r="C13" s="18">
        <v>53638</v>
      </c>
      <c r="D13" s="18">
        <v>1950</v>
      </c>
      <c r="E13" s="18">
        <v>7350</v>
      </c>
      <c r="F13" s="18">
        <v>0</v>
      </c>
      <c r="G13" s="18">
        <v>7350</v>
      </c>
    </row>
    <row r="14" spans="1:7" x14ac:dyDescent="0.25">
      <c r="A14" s="17" t="s">
        <v>85</v>
      </c>
      <c r="B14" s="18">
        <v>30821</v>
      </c>
      <c r="C14" s="18">
        <v>30821</v>
      </c>
      <c r="D14" s="18">
        <v>0</v>
      </c>
      <c r="E14" s="18">
        <v>190728</v>
      </c>
      <c r="F14" s="18">
        <v>190728</v>
      </c>
      <c r="G14" s="18">
        <v>0</v>
      </c>
    </row>
    <row r="15" spans="1:7" x14ac:dyDescent="0.25">
      <c r="A15" s="17" t="s">
        <v>86</v>
      </c>
      <c r="B15" s="18">
        <v>53962</v>
      </c>
      <c r="C15" s="18">
        <v>38198</v>
      </c>
      <c r="D15" s="18">
        <v>15764</v>
      </c>
      <c r="E15" s="18">
        <v>7943</v>
      </c>
      <c r="F15" s="18">
        <v>7943</v>
      </c>
      <c r="G15" s="18">
        <v>0</v>
      </c>
    </row>
    <row r="16" spans="1:7" x14ac:dyDescent="0.25">
      <c r="A16" s="17" t="s">
        <v>87</v>
      </c>
      <c r="B16" s="18">
        <v>545673</v>
      </c>
      <c r="C16" s="18">
        <v>545669</v>
      </c>
      <c r="D16" s="18">
        <v>4</v>
      </c>
      <c r="E16" s="18">
        <v>669047</v>
      </c>
      <c r="F16" s="18">
        <v>669720</v>
      </c>
      <c r="G16" s="18">
        <v>-673</v>
      </c>
    </row>
    <row r="17" spans="1:7" x14ac:dyDescent="0.25">
      <c r="A17" s="17" t="s">
        <v>88</v>
      </c>
      <c r="B17" s="18">
        <v>96589</v>
      </c>
      <c r="C17" s="18">
        <v>96589</v>
      </c>
      <c r="D17" s="18">
        <v>0</v>
      </c>
      <c r="E17" s="18">
        <v>24323</v>
      </c>
      <c r="F17" s="18">
        <v>24323</v>
      </c>
      <c r="G17" s="18">
        <v>0</v>
      </c>
    </row>
    <row r="18" spans="1:7" x14ac:dyDescent="0.25">
      <c r="A18" s="17" t="s">
        <v>89</v>
      </c>
      <c r="B18" s="18">
        <v>4472</v>
      </c>
      <c r="C18" s="18">
        <v>4472</v>
      </c>
      <c r="D18" s="18">
        <v>0</v>
      </c>
      <c r="E18" s="18">
        <v>15969</v>
      </c>
      <c r="F18" s="18">
        <v>15969</v>
      </c>
      <c r="G18" s="18">
        <v>0</v>
      </c>
    </row>
    <row r="19" spans="1:7" x14ac:dyDescent="0.25">
      <c r="A19" s="17" t="s">
        <v>90</v>
      </c>
      <c r="B19" s="18">
        <v>1025572</v>
      </c>
      <c r="C19" s="18">
        <v>1025571</v>
      </c>
      <c r="D19" s="18">
        <v>1</v>
      </c>
      <c r="E19" s="18">
        <v>1032250</v>
      </c>
      <c r="F19" s="18">
        <v>1032250</v>
      </c>
      <c r="G19" s="18">
        <v>0</v>
      </c>
    </row>
    <row r="20" spans="1:7" x14ac:dyDescent="0.25">
      <c r="A20" s="17" t="s">
        <v>91</v>
      </c>
      <c r="B20" s="18">
        <v>9112</v>
      </c>
      <c r="C20" s="18">
        <v>12238</v>
      </c>
      <c r="D20" s="18">
        <v>-3126</v>
      </c>
      <c r="E20" s="18">
        <v>0</v>
      </c>
      <c r="F20" s="18">
        <v>0</v>
      </c>
      <c r="G20" s="18">
        <v>0</v>
      </c>
    </row>
    <row r="21" spans="1:7" x14ac:dyDescent="0.25">
      <c r="A21" s="17" t="s">
        <v>4</v>
      </c>
      <c r="B21" s="18">
        <v>6569317</v>
      </c>
      <c r="C21" s="18">
        <v>6456328</v>
      </c>
      <c r="D21" s="18">
        <v>112990</v>
      </c>
      <c r="E21" s="18">
        <v>2644544</v>
      </c>
      <c r="F21" s="18">
        <v>2613011</v>
      </c>
      <c r="G21" s="18">
        <v>31534</v>
      </c>
    </row>
    <row r="22" spans="1:7" x14ac:dyDescent="0.25">
      <c r="A22" s="17" t="s">
        <v>91</v>
      </c>
      <c r="B22" s="18">
        <v>7657</v>
      </c>
      <c r="C22" s="18">
        <v>5433</v>
      </c>
      <c r="D22" s="18">
        <v>2224</v>
      </c>
      <c r="E22" s="18">
        <v>0</v>
      </c>
      <c r="F22" s="18">
        <v>0</v>
      </c>
      <c r="G22" s="18">
        <v>0</v>
      </c>
    </row>
    <row r="23" spans="1:7" x14ac:dyDescent="0.25">
      <c r="A23" s="16" t="s">
        <v>4</v>
      </c>
      <c r="B23" s="20">
        <v>5960544</v>
      </c>
      <c r="C23" s="20">
        <v>5697855</v>
      </c>
      <c r="D23" s="20">
        <v>262689</v>
      </c>
      <c r="E23" s="20">
        <v>2410170</v>
      </c>
      <c r="F23" s="20">
        <v>2366617</v>
      </c>
      <c r="G23" s="20">
        <v>43553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E10" sqref="E10"/>
    </sheetView>
  </sheetViews>
  <sheetFormatPr defaultRowHeight="15" x14ac:dyDescent="0.25"/>
  <sheetData>
    <row r="1" spans="1:7" x14ac:dyDescent="0.25">
      <c r="A1" s="31" t="s">
        <v>93</v>
      </c>
      <c r="B1" s="31" t="s">
        <v>94</v>
      </c>
      <c r="C1" s="31" t="s">
        <v>7</v>
      </c>
      <c r="D1" s="31" t="s">
        <v>8</v>
      </c>
      <c r="E1" s="31" t="s">
        <v>9</v>
      </c>
      <c r="F1" s="31" t="s">
        <v>10</v>
      </c>
      <c r="G1" s="31" t="s">
        <v>11</v>
      </c>
    </row>
    <row r="2" spans="1:7" x14ac:dyDescent="0.25">
      <c r="A2" s="17" t="s">
        <v>79</v>
      </c>
      <c r="B2" s="18">
        <v>3000</v>
      </c>
      <c r="C2" s="18">
        <v>17604</v>
      </c>
      <c r="D2" s="18">
        <v>2396</v>
      </c>
      <c r="E2" s="18">
        <v>0</v>
      </c>
      <c r="F2" s="17"/>
      <c r="G2" s="17"/>
    </row>
    <row r="3" spans="1:7" x14ac:dyDescent="0.25">
      <c r="A3" s="17" t="s">
        <v>90</v>
      </c>
      <c r="B3" s="18">
        <v>4000</v>
      </c>
      <c r="C3" s="18">
        <v>1000188</v>
      </c>
      <c r="D3" s="18">
        <v>1015205</v>
      </c>
      <c r="E3" s="18">
        <v>1341221</v>
      </c>
      <c r="F3" s="17"/>
      <c r="G3" s="17"/>
    </row>
    <row r="4" spans="1:7" x14ac:dyDescent="0.25">
      <c r="A4" s="16" t="s">
        <v>4</v>
      </c>
      <c r="B4" s="20">
        <v>7000</v>
      </c>
      <c r="C4" s="20">
        <v>1017791</v>
      </c>
      <c r="D4" s="20">
        <v>1017601</v>
      </c>
      <c r="E4" s="20">
        <v>1341221</v>
      </c>
      <c r="F4" s="16"/>
      <c r="G4" s="1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B4" sqref="B4"/>
    </sheetView>
  </sheetViews>
  <sheetFormatPr defaultRowHeight="15" x14ac:dyDescent="0.25"/>
  <cols>
    <col min="2" max="2" width="48.7109375" bestFit="1" customWidth="1"/>
    <col min="3" max="3" width="11.28515625" bestFit="1" customWidth="1"/>
  </cols>
  <sheetData>
    <row r="1" spans="1:7" x14ac:dyDescent="0.25">
      <c r="A1" s="31" t="s">
        <v>5</v>
      </c>
      <c r="B1" s="31" t="s">
        <v>6</v>
      </c>
      <c r="C1" s="31" t="s">
        <v>7</v>
      </c>
      <c r="D1" s="31" t="s">
        <v>8</v>
      </c>
      <c r="E1" s="31" t="s">
        <v>9</v>
      </c>
      <c r="F1" s="31" t="s">
        <v>10</v>
      </c>
      <c r="G1" s="31" t="s">
        <v>11</v>
      </c>
    </row>
    <row r="2" spans="1:7" x14ac:dyDescent="0.25">
      <c r="A2" s="17" t="s">
        <v>14</v>
      </c>
      <c r="B2" s="17" t="s">
        <v>15</v>
      </c>
      <c r="C2" s="18">
        <v>135334</v>
      </c>
      <c r="D2" s="18"/>
      <c r="E2" s="17"/>
      <c r="F2" s="17"/>
      <c r="G2" s="17"/>
    </row>
    <row r="3" spans="1:7" x14ac:dyDescent="0.25">
      <c r="A3" s="17" t="s">
        <v>14</v>
      </c>
      <c r="B3" s="17" t="s">
        <v>18</v>
      </c>
      <c r="C3" s="18">
        <v>659019</v>
      </c>
      <c r="D3" s="18">
        <v>28758</v>
      </c>
      <c r="E3" s="18"/>
      <c r="F3" s="17"/>
      <c r="G3" s="17"/>
    </row>
    <row r="4" spans="1:7" x14ac:dyDescent="0.25">
      <c r="A4" s="17" t="s">
        <v>14</v>
      </c>
      <c r="B4" s="17" t="s">
        <v>20</v>
      </c>
      <c r="C4" s="18">
        <v>2500</v>
      </c>
      <c r="D4" s="18"/>
      <c r="E4" s="17"/>
      <c r="F4" s="17"/>
      <c r="G4" s="17"/>
    </row>
    <row r="5" spans="1:7" x14ac:dyDescent="0.25">
      <c r="A5" s="16" t="s">
        <v>14</v>
      </c>
      <c r="B5" s="16" t="s">
        <v>4</v>
      </c>
      <c r="C5" s="20">
        <v>796854</v>
      </c>
      <c r="D5" s="20">
        <v>28758</v>
      </c>
      <c r="E5" s="20"/>
      <c r="F5" s="16"/>
      <c r="G5" s="16"/>
    </row>
    <row r="6" spans="1:7" x14ac:dyDescent="0.25">
      <c r="A6" s="17" t="s">
        <v>16</v>
      </c>
      <c r="B6" s="17" t="s">
        <v>23</v>
      </c>
      <c r="C6" s="18">
        <v>140567</v>
      </c>
      <c r="D6" s="18">
        <v>7595</v>
      </c>
      <c r="E6" s="18"/>
      <c r="F6" s="17"/>
      <c r="G6" s="17"/>
    </row>
    <row r="7" spans="1:7" x14ac:dyDescent="0.25">
      <c r="A7" s="17" t="s">
        <v>16</v>
      </c>
      <c r="B7" s="17" t="s">
        <v>24</v>
      </c>
      <c r="C7" s="18">
        <v>462779</v>
      </c>
      <c r="D7" s="18">
        <v>2396</v>
      </c>
      <c r="E7" s="18"/>
      <c r="F7" s="17"/>
      <c r="G7" s="17"/>
    </row>
    <row r="8" spans="1:7" x14ac:dyDescent="0.25">
      <c r="A8" s="17" t="s">
        <v>16</v>
      </c>
      <c r="B8" s="17" t="s">
        <v>26</v>
      </c>
      <c r="C8" s="18">
        <v>9112</v>
      </c>
      <c r="D8" s="17"/>
      <c r="E8" s="17"/>
      <c r="F8" s="17"/>
      <c r="G8" s="17"/>
    </row>
    <row r="9" spans="1:7" x14ac:dyDescent="0.25">
      <c r="A9" s="16" t="s">
        <v>16</v>
      </c>
      <c r="B9" s="16" t="s">
        <v>4</v>
      </c>
      <c r="C9" s="20">
        <v>612459</v>
      </c>
      <c r="D9" s="20">
        <v>9991</v>
      </c>
      <c r="E9" s="20"/>
      <c r="F9" s="16"/>
      <c r="G9" s="16"/>
    </row>
    <row r="10" spans="1:7" x14ac:dyDescent="0.25">
      <c r="A10" s="32" t="s">
        <v>19</v>
      </c>
      <c r="B10" s="32" t="s">
        <v>28</v>
      </c>
      <c r="C10" s="33">
        <v>977135</v>
      </c>
      <c r="D10" s="33">
        <v>340985</v>
      </c>
      <c r="E10" s="33">
        <v>421696</v>
      </c>
      <c r="F10" s="33">
        <v>199787</v>
      </c>
      <c r="G10" s="33">
        <v>1993</v>
      </c>
    </row>
    <row r="11" spans="1:7" x14ac:dyDescent="0.25">
      <c r="A11" s="17" t="s">
        <v>19</v>
      </c>
      <c r="B11" s="17" t="s">
        <v>30</v>
      </c>
      <c r="C11" s="18">
        <v>115236</v>
      </c>
      <c r="D11" s="18">
        <v>60962</v>
      </c>
      <c r="E11" s="18">
        <v>1608</v>
      </c>
      <c r="F11" s="18">
        <v>13212</v>
      </c>
      <c r="G11" s="18"/>
    </row>
    <row r="12" spans="1:7" x14ac:dyDescent="0.25">
      <c r="A12" s="17" t="s">
        <v>19</v>
      </c>
      <c r="B12" s="17" t="s">
        <v>31</v>
      </c>
      <c r="C12" s="18">
        <v>55588</v>
      </c>
      <c r="D12" s="18">
        <v>7350</v>
      </c>
      <c r="E12" s="18"/>
      <c r="F12" s="17"/>
      <c r="G12" s="18"/>
    </row>
    <row r="13" spans="1:7" x14ac:dyDescent="0.25">
      <c r="A13" s="16" t="s">
        <v>19</v>
      </c>
      <c r="B13" s="16" t="s">
        <v>4</v>
      </c>
      <c r="C13" s="20">
        <v>1147959</v>
      </c>
      <c r="D13" s="20">
        <v>409297</v>
      </c>
      <c r="E13" s="20">
        <v>423304</v>
      </c>
      <c r="F13" s="20">
        <v>212999</v>
      </c>
      <c r="G13" s="20">
        <v>1993</v>
      </c>
    </row>
    <row r="14" spans="1:7" x14ac:dyDescent="0.25">
      <c r="A14" s="32" t="s">
        <v>21</v>
      </c>
      <c r="B14" s="32" t="s">
        <v>33</v>
      </c>
      <c r="C14" s="33">
        <v>407703</v>
      </c>
      <c r="D14" s="33">
        <v>2302</v>
      </c>
      <c r="E14" s="33"/>
      <c r="F14" s="33"/>
      <c r="G14" s="33"/>
    </row>
    <row r="15" spans="1:7" x14ac:dyDescent="0.25">
      <c r="A15" s="34" t="s">
        <v>21</v>
      </c>
      <c r="B15" s="34" t="s">
        <v>35</v>
      </c>
      <c r="C15" s="35">
        <v>30207</v>
      </c>
      <c r="D15" s="35">
        <v>307</v>
      </c>
      <c r="E15" s="35"/>
      <c r="F15" s="35"/>
      <c r="G15" s="35"/>
    </row>
    <row r="16" spans="1:7" x14ac:dyDescent="0.25">
      <c r="A16" s="17" t="s">
        <v>21</v>
      </c>
      <c r="B16" s="17" t="s">
        <v>44</v>
      </c>
      <c r="C16" s="18">
        <v>2285</v>
      </c>
      <c r="D16" s="18">
        <v>11379</v>
      </c>
      <c r="E16" s="18"/>
      <c r="F16" s="17"/>
      <c r="G16" s="17"/>
    </row>
    <row r="17" spans="1:7" x14ac:dyDescent="0.25">
      <c r="A17" s="17" t="s">
        <v>21</v>
      </c>
      <c r="B17" s="17" t="s">
        <v>45</v>
      </c>
      <c r="C17" s="18">
        <v>10720</v>
      </c>
      <c r="D17" s="18"/>
      <c r="E17" s="18"/>
      <c r="F17" s="17"/>
      <c r="G17" s="17"/>
    </row>
    <row r="18" spans="1:7" x14ac:dyDescent="0.25">
      <c r="A18" s="17" t="s">
        <v>21</v>
      </c>
      <c r="B18" s="17" t="s">
        <v>46</v>
      </c>
      <c r="C18" s="18">
        <v>48884</v>
      </c>
      <c r="D18" s="18"/>
      <c r="E18" s="18"/>
      <c r="F18" s="17"/>
      <c r="G18" s="17"/>
    </row>
    <row r="19" spans="1:7" x14ac:dyDescent="0.25">
      <c r="A19" s="17" t="s">
        <v>21</v>
      </c>
      <c r="B19" s="17" t="s">
        <v>47</v>
      </c>
      <c r="C19" s="18">
        <v>84417</v>
      </c>
      <c r="D19" s="18"/>
      <c r="E19" s="17"/>
      <c r="F19" s="17"/>
      <c r="G19" s="17"/>
    </row>
    <row r="20" spans="1:7" x14ac:dyDescent="0.25">
      <c r="A20" s="17" t="s">
        <v>21</v>
      </c>
      <c r="B20" s="17" t="s">
        <v>48</v>
      </c>
      <c r="C20" s="18">
        <v>14714</v>
      </c>
      <c r="D20" s="18"/>
      <c r="E20" s="17"/>
      <c r="F20" s="17"/>
      <c r="G20" s="17"/>
    </row>
    <row r="21" spans="1:7" x14ac:dyDescent="0.25">
      <c r="A21" s="17" t="s">
        <v>21</v>
      </c>
      <c r="B21" s="17" t="s">
        <v>49</v>
      </c>
      <c r="C21" s="18">
        <v>53962</v>
      </c>
      <c r="D21" s="18">
        <v>7943</v>
      </c>
      <c r="E21" s="17"/>
      <c r="F21" s="17"/>
      <c r="G21" s="17"/>
    </row>
    <row r="22" spans="1:7" x14ac:dyDescent="0.25">
      <c r="A22" s="17" t="s">
        <v>21</v>
      </c>
      <c r="B22" s="17" t="s">
        <v>50</v>
      </c>
      <c r="C22" s="18">
        <v>168263</v>
      </c>
      <c r="D22" s="18">
        <v>147858</v>
      </c>
      <c r="E22" s="18">
        <v>3071</v>
      </c>
      <c r="F22" s="17"/>
      <c r="G22" s="17"/>
    </row>
    <row r="23" spans="1:7" x14ac:dyDescent="0.25">
      <c r="A23" s="17" t="s">
        <v>21</v>
      </c>
      <c r="B23" s="17" t="s">
        <v>51</v>
      </c>
      <c r="C23" s="18">
        <v>96589</v>
      </c>
      <c r="D23" s="18">
        <v>24323</v>
      </c>
      <c r="E23" s="17"/>
      <c r="F23" s="18">
        <v>2002</v>
      </c>
      <c r="G23" s="17"/>
    </row>
    <row r="24" spans="1:7" x14ac:dyDescent="0.25">
      <c r="A24" s="17" t="s">
        <v>21</v>
      </c>
      <c r="B24" s="17" t="s">
        <v>52</v>
      </c>
      <c r="C24" s="18">
        <v>4472</v>
      </c>
      <c r="D24" s="18">
        <v>15969</v>
      </c>
      <c r="E24" s="18"/>
      <c r="F24" s="18"/>
      <c r="G24" s="17"/>
    </row>
    <row r="25" spans="1:7" x14ac:dyDescent="0.25">
      <c r="A25" s="17" t="s">
        <v>21</v>
      </c>
      <c r="B25" s="17" t="s">
        <v>53</v>
      </c>
      <c r="C25" s="18">
        <v>4295</v>
      </c>
      <c r="D25" s="18">
        <v>14703</v>
      </c>
      <c r="E25" s="18"/>
      <c r="F25" s="18"/>
      <c r="G25" s="17"/>
    </row>
    <row r="26" spans="1:7" x14ac:dyDescent="0.25">
      <c r="A26" s="16" t="s">
        <v>21</v>
      </c>
      <c r="B26" s="16" t="s">
        <v>4</v>
      </c>
      <c r="C26" s="20">
        <v>926510</v>
      </c>
      <c r="D26" s="20">
        <v>224784</v>
      </c>
      <c r="E26" s="20">
        <v>3071</v>
      </c>
      <c r="F26" s="20">
        <v>2002</v>
      </c>
      <c r="G26" s="16"/>
    </row>
    <row r="27" spans="1:7" x14ac:dyDescent="0.25">
      <c r="A27" s="17" t="s">
        <v>25</v>
      </c>
      <c r="B27" s="17" t="s">
        <v>55</v>
      </c>
      <c r="C27" s="18">
        <v>328272</v>
      </c>
      <c r="D27" s="18">
        <v>46710</v>
      </c>
      <c r="E27" s="18">
        <v>14980</v>
      </c>
      <c r="F27" s="17"/>
      <c r="G27" s="17"/>
    </row>
    <row r="28" spans="1:7" x14ac:dyDescent="0.25">
      <c r="A28" s="36" t="s">
        <v>25</v>
      </c>
      <c r="B28" s="36" t="s">
        <v>63</v>
      </c>
      <c r="C28" s="37">
        <v>33234</v>
      </c>
      <c r="D28" s="37">
        <v>15041</v>
      </c>
      <c r="E28" s="37"/>
      <c r="F28" s="37"/>
      <c r="G28" s="36"/>
    </row>
    <row r="29" spans="1:7" x14ac:dyDescent="0.25">
      <c r="A29" s="32" t="s">
        <v>25</v>
      </c>
      <c r="B29" s="32" t="s">
        <v>65</v>
      </c>
      <c r="C29" s="33">
        <v>309529</v>
      </c>
      <c r="D29" s="33">
        <v>15518</v>
      </c>
      <c r="E29" s="33"/>
      <c r="F29" s="33"/>
      <c r="G29" s="32"/>
    </row>
    <row r="30" spans="1:7" x14ac:dyDescent="0.25">
      <c r="A30" s="34" t="s">
        <v>25</v>
      </c>
      <c r="B30" s="34" t="s">
        <v>67</v>
      </c>
      <c r="C30" s="35">
        <v>391334</v>
      </c>
      <c r="D30" s="35">
        <v>44302</v>
      </c>
      <c r="E30" s="35"/>
      <c r="F30" s="35"/>
      <c r="G30" s="34"/>
    </row>
    <row r="31" spans="1:7" x14ac:dyDescent="0.25">
      <c r="A31" s="17" t="s">
        <v>25</v>
      </c>
      <c r="B31" s="17" t="s">
        <v>69</v>
      </c>
      <c r="C31" s="18">
        <v>267411</v>
      </c>
      <c r="D31" s="18">
        <v>13006</v>
      </c>
      <c r="E31" s="18"/>
      <c r="F31" s="18"/>
      <c r="G31" s="17"/>
    </row>
    <row r="32" spans="1:7" x14ac:dyDescent="0.25">
      <c r="A32" s="17" t="s">
        <v>25</v>
      </c>
      <c r="B32" s="17" t="s">
        <v>71</v>
      </c>
      <c r="C32" s="18"/>
      <c r="D32" s="18">
        <v>11889</v>
      </c>
      <c r="E32" s="18">
        <v>13223</v>
      </c>
      <c r="F32" s="17"/>
      <c r="G32" s="17"/>
    </row>
    <row r="33" spans="1:7" x14ac:dyDescent="0.25">
      <c r="A33" s="17" t="s">
        <v>25</v>
      </c>
      <c r="B33" s="17" t="s">
        <v>73</v>
      </c>
      <c r="C33" s="18">
        <v>30821</v>
      </c>
      <c r="D33" s="18">
        <v>190728</v>
      </c>
      <c r="E33" s="18"/>
      <c r="F33" s="17"/>
      <c r="G33" s="17"/>
    </row>
    <row r="34" spans="1:7" x14ac:dyDescent="0.25">
      <c r="A34" s="17" t="s">
        <v>25</v>
      </c>
      <c r="B34" s="17" t="s">
        <v>75</v>
      </c>
      <c r="C34" s="18">
        <v>310398</v>
      </c>
      <c r="D34" s="18">
        <v>239120</v>
      </c>
      <c r="E34" s="18">
        <v>5790</v>
      </c>
      <c r="F34" s="18">
        <v>5710</v>
      </c>
      <c r="G34" s="17"/>
    </row>
    <row r="35" spans="1:7" x14ac:dyDescent="0.25">
      <c r="A35" s="16" t="s">
        <v>25</v>
      </c>
      <c r="B35" s="16" t="s">
        <v>4</v>
      </c>
      <c r="C35" s="20">
        <v>1670999</v>
      </c>
      <c r="D35" s="20">
        <v>576313</v>
      </c>
      <c r="E35" s="20">
        <v>33993</v>
      </c>
      <c r="F35" s="20">
        <v>5710</v>
      </c>
      <c r="G35" s="16"/>
    </row>
    <row r="36" spans="1:7" x14ac:dyDescent="0.25">
      <c r="A36" s="17" t="s">
        <v>22</v>
      </c>
      <c r="B36" s="17" t="s">
        <v>78</v>
      </c>
      <c r="C36" s="18">
        <v>326249</v>
      </c>
      <c r="D36" s="18">
        <v>95785</v>
      </c>
      <c r="E36" s="18"/>
      <c r="F36" s="17"/>
      <c r="G36" s="18"/>
    </row>
    <row r="37" spans="1:7" x14ac:dyDescent="0.25">
      <c r="A37" s="36" t="s">
        <v>22</v>
      </c>
      <c r="B37" s="36" t="s">
        <v>80</v>
      </c>
      <c r="C37" s="37">
        <v>67011</v>
      </c>
      <c r="D37" s="37">
        <v>282069</v>
      </c>
      <c r="E37" s="37">
        <v>6655</v>
      </c>
      <c r="F37" s="37"/>
      <c r="G37" s="37"/>
    </row>
    <row r="38" spans="1:7" x14ac:dyDescent="0.25">
      <c r="A38" s="32" t="s">
        <v>22</v>
      </c>
      <c r="B38" s="32" t="s">
        <v>82</v>
      </c>
      <c r="C38" s="33">
        <v>1021277</v>
      </c>
      <c r="D38" s="33">
        <v>1017547</v>
      </c>
      <c r="E38" s="33">
        <v>1341221</v>
      </c>
      <c r="F38" s="33">
        <v>78387</v>
      </c>
      <c r="G38" s="33"/>
    </row>
    <row r="39" spans="1:7" x14ac:dyDescent="0.25">
      <c r="A39" s="16" t="s">
        <v>22</v>
      </c>
      <c r="B39" s="16" t="s">
        <v>4</v>
      </c>
      <c r="C39" s="20">
        <v>1414537</v>
      </c>
      <c r="D39" s="20">
        <v>1395400</v>
      </c>
      <c r="E39" s="20">
        <v>1347876</v>
      </c>
      <c r="F39" s="20">
        <v>78387</v>
      </c>
      <c r="G39" s="20"/>
    </row>
    <row r="40" spans="1:7" x14ac:dyDescent="0.25">
      <c r="A40" s="16" t="s">
        <v>4</v>
      </c>
      <c r="B40" s="16" t="s">
        <v>4</v>
      </c>
      <c r="C40" s="20">
        <v>6569317</v>
      </c>
      <c r="D40" s="20">
        <v>2644544</v>
      </c>
      <c r="E40" s="20">
        <v>1808244</v>
      </c>
      <c r="F40" s="20">
        <v>299098</v>
      </c>
      <c r="G40" s="20">
        <v>1993</v>
      </c>
    </row>
    <row r="41" spans="1:7" x14ac:dyDescent="0.25">
      <c r="A41" s="17" t="s">
        <v>22</v>
      </c>
      <c r="B41" s="17" t="s">
        <v>80</v>
      </c>
      <c r="C41" s="18">
        <v>127113</v>
      </c>
      <c r="D41" s="18">
        <v>67011</v>
      </c>
      <c r="E41" s="18">
        <v>282069</v>
      </c>
      <c r="F41" s="18">
        <v>6655</v>
      </c>
      <c r="G41" s="18"/>
    </row>
    <row r="42" spans="1:7" x14ac:dyDescent="0.25">
      <c r="A42" s="36" t="s">
        <v>22</v>
      </c>
      <c r="B42" s="36" t="s">
        <v>82</v>
      </c>
      <c r="C42" s="37">
        <v>1257909</v>
      </c>
      <c r="D42" s="37">
        <v>1021276</v>
      </c>
      <c r="E42" s="37">
        <v>1017547</v>
      </c>
      <c r="F42" s="37">
        <v>1341221</v>
      </c>
      <c r="G42" s="37">
        <v>78387</v>
      </c>
    </row>
    <row r="43" spans="1:7" x14ac:dyDescent="0.25">
      <c r="A43" s="16" t="s">
        <v>22</v>
      </c>
      <c r="B43" s="16" t="s">
        <v>4</v>
      </c>
      <c r="C43" s="20">
        <v>2104430</v>
      </c>
      <c r="D43" s="20">
        <v>1414531</v>
      </c>
      <c r="E43" s="20">
        <v>1395862</v>
      </c>
      <c r="F43" s="20">
        <v>1347876</v>
      </c>
      <c r="G43" s="20">
        <v>78387</v>
      </c>
    </row>
    <row r="44" spans="1:7" x14ac:dyDescent="0.25">
      <c r="A44" s="16" t="s">
        <v>4</v>
      </c>
      <c r="B44" s="16" t="s">
        <v>4</v>
      </c>
      <c r="C44" s="20">
        <v>15494303</v>
      </c>
      <c r="D44" s="20">
        <v>5697855</v>
      </c>
      <c r="E44" s="20">
        <v>2366617</v>
      </c>
      <c r="F44" s="20">
        <v>1658881</v>
      </c>
      <c r="G44" s="20">
        <v>275192</v>
      </c>
    </row>
    <row r="45" spans="1:7" x14ac:dyDescent="0.25">
      <c r="A45" s="16" t="s">
        <v>4</v>
      </c>
      <c r="B45" s="16" t="s">
        <v>4</v>
      </c>
      <c r="C45" s="20">
        <v>13167328</v>
      </c>
      <c r="D45" s="20">
        <v>4686629</v>
      </c>
      <c r="E45" s="20">
        <v>2311588</v>
      </c>
      <c r="F45" s="20">
        <v>1610210</v>
      </c>
      <c r="G45" s="20">
        <v>247668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F5" sqref="F5"/>
    </sheetView>
  </sheetViews>
  <sheetFormatPr defaultRowHeight="15" x14ac:dyDescent="0.25"/>
  <cols>
    <col min="2" max="2" width="15" bestFit="1" customWidth="1"/>
    <col min="3" max="3" width="13" bestFit="1" customWidth="1"/>
    <col min="4" max="4" width="13" customWidth="1"/>
    <col min="5" max="5" width="17.85546875" bestFit="1" customWidth="1"/>
    <col min="6" max="6" width="14.5703125" bestFit="1" customWidth="1"/>
    <col min="7" max="7" width="14.85546875" bestFit="1" customWidth="1"/>
  </cols>
  <sheetData>
    <row r="1" spans="1:7" x14ac:dyDescent="0.25">
      <c r="A1" s="31" t="s">
        <v>112</v>
      </c>
      <c r="B1" s="31" t="s">
        <v>113</v>
      </c>
      <c r="C1" s="31" t="s">
        <v>114</v>
      </c>
      <c r="D1" s="31" t="s">
        <v>115</v>
      </c>
      <c r="E1" s="31" t="s">
        <v>116</v>
      </c>
      <c r="F1" s="31" t="s">
        <v>59</v>
      </c>
      <c r="G1" s="31" t="s">
        <v>62</v>
      </c>
    </row>
    <row r="2" spans="1:7" x14ac:dyDescent="0.25">
      <c r="A2" s="17" t="s">
        <v>14</v>
      </c>
      <c r="B2" s="18">
        <v>743183</v>
      </c>
      <c r="C2" s="18">
        <v>796854</v>
      </c>
      <c r="D2" s="18">
        <v>28758</v>
      </c>
      <c r="E2" s="18">
        <v>28758</v>
      </c>
      <c r="F2" s="18">
        <v>53671</v>
      </c>
      <c r="G2" s="18">
        <v>0</v>
      </c>
    </row>
    <row r="3" spans="1:7" x14ac:dyDescent="0.25">
      <c r="A3" s="17" t="s">
        <v>16</v>
      </c>
      <c r="B3" s="18">
        <v>575509</v>
      </c>
      <c r="C3" s="18">
        <v>612459</v>
      </c>
      <c r="D3" s="18">
        <v>9991</v>
      </c>
      <c r="E3" s="18">
        <v>9991</v>
      </c>
      <c r="F3" s="18">
        <v>36950</v>
      </c>
      <c r="G3" s="18">
        <v>0</v>
      </c>
    </row>
    <row r="4" spans="1:7" x14ac:dyDescent="0.25">
      <c r="A4" s="17" t="s">
        <v>19</v>
      </c>
      <c r="B4" s="18">
        <v>1147811</v>
      </c>
      <c r="C4" s="18">
        <v>1147959</v>
      </c>
      <c r="D4" s="18">
        <v>401098</v>
      </c>
      <c r="E4" s="18">
        <v>409297</v>
      </c>
      <c r="F4" s="18">
        <v>148</v>
      </c>
      <c r="G4" s="18">
        <v>8199</v>
      </c>
    </row>
    <row r="5" spans="1:7" x14ac:dyDescent="0.25">
      <c r="A5" s="17" t="s">
        <v>21</v>
      </c>
      <c r="B5" s="18">
        <v>910090</v>
      </c>
      <c r="C5" s="18">
        <v>926510</v>
      </c>
      <c r="D5" s="18">
        <v>224784</v>
      </c>
      <c r="E5" s="18">
        <v>224784</v>
      </c>
      <c r="F5" s="18">
        <v>16420</v>
      </c>
      <c r="G5" s="18">
        <v>0</v>
      </c>
    </row>
    <row r="6" spans="1:7" x14ac:dyDescent="0.25">
      <c r="A6" s="17" t="s">
        <v>25</v>
      </c>
      <c r="B6" s="18">
        <v>1665200</v>
      </c>
      <c r="C6" s="18">
        <v>1670999</v>
      </c>
      <c r="D6" s="18">
        <v>552518</v>
      </c>
      <c r="E6" s="18">
        <v>576313</v>
      </c>
      <c r="F6" s="18">
        <v>5799</v>
      </c>
      <c r="G6" s="18">
        <v>23795</v>
      </c>
    </row>
    <row r="7" spans="1:7" x14ac:dyDescent="0.25">
      <c r="A7" s="17" t="s">
        <v>22</v>
      </c>
      <c r="B7" s="18">
        <v>1414534</v>
      </c>
      <c r="C7" s="18">
        <v>1414537</v>
      </c>
      <c r="D7" s="18">
        <v>1395862</v>
      </c>
      <c r="E7" s="18">
        <v>1395400</v>
      </c>
      <c r="F7" s="18">
        <v>3</v>
      </c>
      <c r="G7" s="24">
        <v>-462</v>
      </c>
    </row>
    <row r="8" spans="1:7" x14ac:dyDescent="0.25">
      <c r="A8" s="17" t="s">
        <v>4</v>
      </c>
      <c r="B8" s="18">
        <v>6456328</v>
      </c>
      <c r="C8" s="18">
        <v>6569317</v>
      </c>
      <c r="D8" s="18">
        <v>2613011</v>
      </c>
      <c r="E8" s="18">
        <v>2644544</v>
      </c>
      <c r="F8" s="18">
        <v>112989</v>
      </c>
      <c r="G8" s="18">
        <v>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Final</vt:lpstr>
      <vt:lpstr>Unit Wise</vt:lpstr>
      <vt:lpstr>Weekly Blank Days</vt:lpstr>
      <vt:lpstr>Buyer Wise</vt:lpstr>
      <vt:lpstr>Provision</vt:lpstr>
      <vt:lpstr>Unit and Buyer Wise</vt:lpstr>
      <vt:lpstr>Comparison</vt:lpstr>
      <vt:lpstr>Final!Print_Area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Mahfuzur Rahman</cp:lastModifiedBy>
  <cp:lastPrinted>2025-12-30T03:56:21Z</cp:lastPrinted>
  <dcterms:created xsi:type="dcterms:W3CDTF">2025-05-08T11:34:02Z</dcterms:created>
  <dcterms:modified xsi:type="dcterms:W3CDTF">2026-07-27T11:50:07Z</dcterms:modified>
</cp:coreProperties>
</file>